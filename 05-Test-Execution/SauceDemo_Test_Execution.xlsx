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Execution Log" sheetId="3" r:id="rId6"/>
    <sheet name="Dashboard" sheetId="4" r:id="rId7"/>
    <sheet name="Environment" sheetId="5" r:id="rId8"/>
    <sheet name="Defect Candidates" sheetId="6" r:id="rId9"/>
  </sheets>
</workbook>
</file>

<file path=xl/sharedStrings.xml><?xml version="1.0" encoding="utf-8"?>
<sst xmlns="http://schemas.openxmlformats.org/spreadsheetml/2006/main" uniqueCount="369">
  <si>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</si>
  <si>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</si>
  <si>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</si>
  <si>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</si>
  <si>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Overview</t>
  </si>
  <si>
    <t>Table 1</t>
  </si>
  <si>
    <t>SAUCEDEMO - TEST EXECUTION</t>
  </si>
  <si>
    <t>Document ID</t>
  </si>
  <si>
    <t>QA-TE-001</t>
  </si>
  <si>
    <t>Version</t>
  </si>
  <si>
    <t>1.0</t>
  </si>
  <si>
    <t>Prepared By</t>
  </si>
  <si>
    <t>Nancy McKenzie</t>
  </si>
  <si>
    <t>Application</t>
  </si>
  <si>
    <t>SauceDemo</t>
  </si>
  <si>
    <t>Project</t>
  </si>
  <si>
    <t>Manual QA Testing Portfolio</t>
  </si>
  <si>
    <t>Related Test Plan</t>
  </si>
  <si>
    <t>QA-TP-001</t>
  </si>
  <si>
    <t>Related Requirements</t>
  </si>
  <si>
    <t>QA-BRD-001</t>
  </si>
  <si>
    <t>Related Scenarios</t>
  </si>
  <si>
    <t>QA-TS-001</t>
  </si>
  <si>
    <t>Related Test Cases</t>
  </si>
  <si>
    <t>QA-TC-001</t>
  </si>
  <si>
    <t>Purpose</t>
  </si>
  <si>
    <t>This workbook is the execution control for the 42 detailed SauceDemo test cases. It is designed to capture actual results, Pass/Fail/Blocked status, execution date, tester, evidence references, and defect linkage. The workbook intentionally starts with all cases marked Not Run so that the final portfolio reflects real execution evidence rather than invented results.</t>
  </si>
  <si>
    <t>Execution Standard</t>
  </si>
  <si>
    <t>How It Is Applied</t>
  </si>
  <si>
    <t>Why It Matters</t>
  </si>
  <si>
    <t>Portfolio Value</t>
  </si>
  <si>
    <t>Actual Evidence</t>
  </si>
  <si>
    <t>Results are entered only after a real execution attempt.</t>
  </si>
  <si>
    <t>Protects credibility.</t>
  </si>
  <si>
    <t>Demonstrates honest QA practice.</t>
  </si>
  <si>
    <t>Defect Linkage</t>
  </si>
  <si>
    <t>Failed cases reference a defect candidate or defect ID.</t>
  </si>
  <si>
    <t>Connects testing to defect management.</t>
  </si>
  <si>
    <t>Shows full QA lifecycle.</t>
  </si>
  <si>
    <t>Repeatability</t>
  </si>
  <si>
    <t>Expected result and source test-case IDs remain visible.</t>
  </si>
  <si>
    <t>Makes retesting easier.</t>
  </si>
  <si>
    <t>Supports professional regression work.</t>
  </si>
  <si>
    <t>Status Control</t>
  </si>
  <si>
    <t>Only Not Run, Pass, Fail, Blocked, or N/A are allowed.</t>
  </si>
  <si>
    <t>Keeps metrics clean.</t>
  </si>
  <si>
    <t>Enables reliable reporting.</t>
  </si>
  <si>
    <t>Dashboard Metrics</t>
  </si>
  <si>
    <t>Counts and rates update from the Execution Log.</t>
  </si>
  <si>
    <t>Makes progress visible.</t>
  </si>
  <si>
    <t>Creates recruiter-friendly summary.</t>
  </si>
  <si>
    <t>Execution Log</t>
  </si>
  <si>
    <t>Execution ID</t>
  </si>
  <si>
    <t>Test Case ID</t>
  </si>
  <si>
    <t>Scenario ID</t>
  </si>
  <si>
    <t>Requirement ID(s)</t>
  </si>
  <si>
    <t>Module</t>
  </si>
  <si>
    <t>Test Case Title</t>
  </si>
  <si>
    <t>Priority</t>
  </si>
  <si>
    <t>Expected Result</t>
  </si>
  <si>
    <t>Actual Result</t>
  </si>
  <si>
    <t>Status</t>
  </si>
  <si>
    <t>Defect ID</t>
  </si>
  <si>
    <t>Evidence / Screenshot</t>
  </si>
  <si>
    <t>Executed By</t>
  </si>
  <si>
    <t>Execution Date</t>
  </si>
  <si>
    <t>Retest Status</t>
  </si>
  <si>
    <t>Retest Date</t>
  </si>
  <si>
    <t>Notes</t>
  </si>
  <si>
    <t>EXE-001</t>
  </si>
  <si>
    <t>TC-001</t>
  </si>
  <si>
    <t>TS-001</t>
  </si>
  <si>
    <t>REQ-001</t>
  </si>
  <si>
    <t>Authentication</t>
  </si>
  <si>
    <t>Login with valid standard user</t>
  </si>
  <si>
    <t>Critical</t>
  </si>
  <si>
    <t>Login succeeds and Inventory page is displayed.</t>
  </si>
  <si>
    <t>Login successfully. Inventory pages displays available products.</t>
  </si>
  <si>
    <t>Pass</t>
  </si>
  <si>
    <t>Nancy Mckenzie</t>
  </si>
  <si>
    <t>Not Required</t>
  </si>
  <si>
    <t>EXE-002</t>
  </si>
  <si>
    <t>TC-002</t>
  </si>
  <si>
    <t>TS-002</t>
  </si>
  <si>
    <t>REQ-002</t>
  </si>
  <si>
    <t>Reject invalid username</t>
  </si>
  <si>
    <t>Login is rejected and a clear error message is displayed.</t>
  </si>
  <si>
    <t>Login was rejected. Error message was displayed.</t>
  </si>
  <si>
    <t>EXE-003</t>
  </si>
  <si>
    <t>TC-003</t>
  </si>
  <si>
    <t>TS-003</t>
  </si>
  <si>
    <t>Reject invalid password</t>
  </si>
  <si>
    <t>Login is rejected and an authentication error is displayed.</t>
  </si>
  <si>
    <t>Login was rejected . An authentication error was displayed.</t>
  </si>
  <si>
    <t>EXE-004</t>
  </si>
  <si>
    <t>TC-004</t>
  </si>
  <si>
    <t>Validate blank username</t>
  </si>
  <si>
    <t>Login does not proceed and required username validation is displayed.</t>
  </si>
  <si>
    <t>Login does not proceed . Required username validation message is displayed.</t>
  </si>
  <si>
    <t>EXE-005</t>
  </si>
  <si>
    <t>TC-005</t>
  </si>
  <si>
    <t>Validate blank password</t>
  </si>
  <si>
    <t>Login does not proceed and required password validation is displayed.</t>
  </si>
  <si>
    <t>Login does not proceed. Required password validation  was displayed.</t>
  </si>
  <si>
    <t>EXE-006</t>
  </si>
  <si>
    <t>TC-006</t>
  </si>
  <si>
    <t>TS-004</t>
  </si>
  <si>
    <t>REQ-003</t>
  </si>
  <si>
    <t>Reject locked-out user</t>
  </si>
  <si>
    <t>User remains unauthenticated and locked-out error message is shown.</t>
  </si>
  <si>
    <t>User remains unauthenticated. Locked-out error message is shown.</t>
  </si>
  <si>
    <t>EXE-007</t>
  </si>
  <si>
    <t>TC-007</t>
  </si>
  <si>
    <t>TS-005</t>
  </si>
  <si>
    <t>REQ-004, REQ-005</t>
  </si>
  <si>
    <t>Inventory</t>
  </si>
  <si>
    <t>Display inventory after valid login</t>
  </si>
  <si>
    <t>Inventory page loads and available product cards are visible.</t>
  </si>
  <si>
    <t>Inventory page loads. Available product cards are visible.</t>
  </si>
  <si>
    <t>EXE-008</t>
  </si>
  <si>
    <t>TC-008</t>
  </si>
  <si>
    <t>REQ-005</t>
  </si>
  <si>
    <t>Validate product information on inventory</t>
  </si>
  <si>
    <t>High</t>
  </si>
  <si>
    <t>Each product displays readable identifying information and price.</t>
  </si>
  <si>
    <t>EXE-009</t>
  </si>
  <si>
    <t>TC-009</t>
  </si>
  <si>
    <t>TS-006</t>
  </si>
  <si>
    <t>REQ-006</t>
  </si>
  <si>
    <t>Sort products name A to Z</t>
  </si>
  <si>
    <t>Products appear in ascending alphabetical order.</t>
  </si>
  <si>
    <t>EXE-010</t>
  </si>
  <si>
    <t>TC-010</t>
  </si>
  <si>
    <t>Sort products name Z to A</t>
  </si>
  <si>
    <t>Products appear in descending alphabetical order.</t>
  </si>
  <si>
    <t>EXE-011</t>
  </si>
  <si>
    <t>TC-011</t>
  </si>
  <si>
    <t>Sort products price low to high</t>
  </si>
  <si>
    <t>Products are ordered from lowest to highest price.</t>
  </si>
  <si>
    <t>EXE-012</t>
  </si>
  <si>
    <t>TC-012</t>
  </si>
  <si>
    <t>Sort products price high to low</t>
  </si>
  <si>
    <t>Products are ordered from highest to lowest price.</t>
  </si>
  <si>
    <t>EXE-013</t>
  </si>
  <si>
    <t>TC-013</t>
  </si>
  <si>
    <t>TS-007</t>
  </si>
  <si>
    <t>REQ-007</t>
  </si>
  <si>
    <t>Product Details</t>
  </si>
  <si>
    <t>Open product details from product name</t>
  </si>
  <si>
    <t>Medium</t>
  </si>
  <si>
    <t>Correct product detail page opens with matching product information.</t>
  </si>
  <si>
    <t>EXE-014</t>
  </si>
  <si>
    <t>TC-014</t>
  </si>
  <si>
    <t>Return from product details to inventory</t>
  </si>
  <si>
    <t>Inventory page is displayed again.</t>
  </si>
  <si>
    <t>EXE-015</t>
  </si>
  <si>
    <t>TC-015</t>
  </si>
  <si>
    <t>TS-008</t>
  </si>
  <si>
    <t>REQ-008</t>
  </si>
  <si>
    <t>Cart</t>
  </si>
  <si>
    <t>Add one product from inventory</t>
  </si>
  <si>
    <t>Product is selected and cart badge shows 1.</t>
  </si>
  <si>
    <t>EXE-016</t>
  </si>
  <si>
    <t>TC-016</t>
  </si>
  <si>
    <t>Add product from detail page</t>
  </si>
  <si>
    <t>Product is added and cart badge shows 1.</t>
  </si>
  <si>
    <t>EXE-017</t>
  </si>
  <si>
    <t>TC-017</t>
  </si>
  <si>
    <t>TS-009</t>
  </si>
  <si>
    <t>REQ-008, REQ-010</t>
  </si>
  <si>
    <t>Add multiple products</t>
  </si>
  <si>
    <t>Both selected products are present in the cart.</t>
  </si>
  <si>
    <t>EXE-018</t>
  </si>
  <si>
    <t>TC-018</t>
  </si>
  <si>
    <t>TS-011</t>
  </si>
  <si>
    <t>REQ-010, BRULE-03</t>
  </si>
  <si>
    <t>Validate cart badge after multiple additions</t>
  </si>
  <si>
    <t>Badge count accurately tracks the number of selected items.</t>
  </si>
  <si>
    <t>EXE-019</t>
  </si>
  <si>
    <t>TC-019</t>
  </si>
  <si>
    <t>TS-010</t>
  </si>
  <si>
    <t>REQ-009</t>
  </si>
  <si>
    <t>Remove product from inventory selection</t>
  </si>
  <si>
    <t>Product is deselected and cart badge updates accordingly.</t>
  </si>
  <si>
    <t>EXE-020</t>
  </si>
  <si>
    <t>TC-020</t>
  </si>
  <si>
    <t>Remove product from cart page</t>
  </si>
  <si>
    <t>Product is removed from cart and badge count updates.</t>
  </si>
  <si>
    <t>EXE-021</t>
  </si>
  <si>
    <t>TC-021</t>
  </si>
  <si>
    <t>TS-010, TS-011</t>
  </si>
  <si>
    <t>REQ-009, REQ-010</t>
  </si>
  <si>
    <t>Validate cart state after removing one of multiple products</t>
  </si>
  <si>
    <t>Only the intended item is removed; remaining item stays and badge shows 1.</t>
  </si>
  <si>
    <t>EXE-022</t>
  </si>
  <si>
    <t>TC-022</t>
  </si>
  <si>
    <t>TS-012</t>
  </si>
  <si>
    <t>REQ-011</t>
  </si>
  <si>
    <t>Continue shopping preserves cart</t>
  </si>
  <si>
    <t>Inventory reopens and previously selected product remains in cart.</t>
  </si>
  <si>
    <t>EXE-023</t>
  </si>
  <si>
    <t>TC-023</t>
  </si>
  <si>
    <t>REQ-010</t>
  </si>
  <si>
    <t>Validate cart item details</t>
  </si>
  <si>
    <t>Cart displays the correct selected product and matching price.</t>
  </si>
  <si>
    <t>EXE-024</t>
  </si>
  <si>
    <t>TC-024</t>
  </si>
  <si>
    <t>TS-013</t>
  </si>
  <si>
    <t>REQ-012</t>
  </si>
  <si>
    <t>Checkout</t>
  </si>
  <si>
    <t>Start checkout with item in cart</t>
  </si>
  <si>
    <t>Checkout: Your Information page opens.</t>
  </si>
  <si>
    <t>EXE-025</t>
  </si>
  <si>
    <t>TC-025</t>
  </si>
  <si>
    <t>TS-014</t>
  </si>
  <si>
    <t>REQ-013</t>
  </si>
  <si>
    <t>Require first name</t>
  </si>
  <si>
    <t>Checkout does not advance and first-name required error is displayed.</t>
  </si>
  <si>
    <t>EXE-026</t>
  </si>
  <si>
    <t>TC-026</t>
  </si>
  <si>
    <t>TS-015</t>
  </si>
  <si>
    <t>Require last name</t>
  </si>
  <si>
    <t>Checkout does not advance and last-name required error is displayed.</t>
  </si>
  <si>
    <t>EXE-027</t>
  </si>
  <si>
    <t>TC-027</t>
  </si>
  <si>
    <t>TS-016</t>
  </si>
  <si>
    <t>Require postal code</t>
  </si>
  <si>
    <t>Checkout does not advance and postal-code required error is displayed.</t>
  </si>
  <si>
    <t>EXE-028</t>
  </si>
  <si>
    <t>TC-028</t>
  </si>
  <si>
    <t>TS-017</t>
  </si>
  <si>
    <t>REQ-013, REQ-014</t>
  </si>
  <si>
    <t>Continue checkout with valid customer information</t>
  </si>
  <si>
    <t>Checkout Overview page opens and cart items are retained.</t>
  </si>
  <si>
    <t>EXE-029</t>
  </si>
  <si>
    <t>TC-029</t>
  </si>
  <si>
    <t>TS-018</t>
  </si>
  <si>
    <t>REQ-014</t>
  </si>
  <si>
    <t>Validate order overview product details</t>
  </si>
  <si>
    <t>Overview accurately reflects selected cart item details.</t>
  </si>
  <si>
    <t>EXE-030</t>
  </si>
  <si>
    <t>TC-030</t>
  </si>
  <si>
    <t>TS-019</t>
  </si>
  <si>
    <t>REQ-015</t>
  </si>
  <si>
    <t>Validate order subtotal</t>
  </si>
  <si>
    <t>Displayed item subtotal equals the sum of selected item prices.</t>
  </si>
  <si>
    <t>EXE-031</t>
  </si>
  <si>
    <t>TC-031</t>
  </si>
  <si>
    <t>Validate tax and total consistency</t>
  </si>
  <si>
    <t>Displayed Total equals Item total plus Tax.</t>
  </si>
  <si>
    <t>EXE-032</t>
  </si>
  <si>
    <t>TC-032</t>
  </si>
  <si>
    <t>TS-020</t>
  </si>
  <si>
    <t>REQ-016</t>
  </si>
  <si>
    <t>Order Completion</t>
  </si>
  <si>
    <t>Complete a valid single-item order</t>
  </si>
  <si>
    <t>Order completes and success confirmation is displayed.</t>
  </si>
  <si>
    <t>EXE-033</t>
  </si>
  <si>
    <t>TC-033</t>
  </si>
  <si>
    <t>Complete a valid multi-item order</t>
  </si>
  <si>
    <t>Order completes successfully and confirmation is displayed.</t>
  </si>
  <si>
    <t>EXE-034</t>
  </si>
  <si>
    <t>TC-034</t>
  </si>
  <si>
    <t>Return to inventory after order completion</t>
  </si>
  <si>
    <t>Inventory page opens successfully.</t>
  </si>
  <si>
    <t>EXE-035</t>
  </si>
  <si>
    <t>TC-035</t>
  </si>
  <si>
    <t>TS-021</t>
  </si>
  <si>
    <t>REQ-017</t>
  </si>
  <si>
    <t>Navigation</t>
  </si>
  <si>
    <t>Open and close application menu</t>
  </si>
  <si>
    <t>Menu opens and closes without corrupting page state.</t>
  </si>
  <si>
    <t>EXE-036</t>
  </si>
  <si>
    <t>TC-036</t>
  </si>
  <si>
    <t>Use All Items menu action</t>
  </si>
  <si>
    <t>Inventory page is displayed.</t>
  </si>
  <si>
    <t>EXE-037</t>
  </si>
  <si>
    <t>TC-037</t>
  </si>
  <si>
    <t>Use Reset App State</t>
  </si>
  <si>
    <t>Application state is reset according to demo behavior and shopping state is cleared.</t>
  </si>
  <si>
    <t>EXE-038</t>
  </si>
  <si>
    <t>TC-038</t>
  </si>
  <si>
    <t>TS-022</t>
  </si>
  <si>
    <t>REQ-018, BRULE-08</t>
  </si>
  <si>
    <t>Session</t>
  </si>
  <si>
    <t>Logout authenticated user</t>
  </si>
  <si>
    <t>User returns to login page and authenticated session ends.</t>
  </si>
  <si>
    <t>EXE-039</t>
  </si>
  <si>
    <t>TC-039</t>
  </si>
  <si>
    <t>REQ-018, NFR-006</t>
  </si>
  <si>
    <t>Verify normal authenticated navigation is unavailable after logout</t>
  </si>
  <si>
    <t>Inventory is not accessible through normal UI flow until valid login occurs.</t>
  </si>
  <si>
    <t>EXE-040</t>
  </si>
  <si>
    <t>TC-040</t>
  </si>
  <si>
    <t>TS-023</t>
  </si>
  <si>
    <t>NFR-001, NFR-003</t>
  </si>
  <si>
    <t>Usability &amp; UI</t>
  </si>
  <si>
    <t>Validate clarity of login and checkout validation messages</t>
  </si>
  <si>
    <t>Messages are visible, readable, and indicate the problem clearly enough for corrective action.</t>
  </si>
  <si>
    <t>Combined usability validation covering both login error messaging and checkout required-field validation. Both messages were reviewed for visibility, readability, and clarity.</t>
  </si>
  <si>
    <t>EXE-041</t>
  </si>
  <si>
    <t>TC-041</t>
  </si>
  <si>
    <t>NFR-004</t>
  </si>
  <si>
    <t>Validate readability and association of product information</t>
  </si>
  <si>
    <t>Product information is readable and consistently associated with the correct item.</t>
  </si>
  <si>
    <t>Product image doesn’t match the description of the product.</t>
  </si>
  <si>
    <t>Fail</t>
  </si>
  <si>
    <t>EXE-042</t>
  </si>
  <si>
    <t>TC-042</t>
  </si>
  <si>
    <t>TS-024</t>
  </si>
  <si>
    <t>REQ-001, REQ-004, REQ-008, REQ-012, REQ-013, REQ-014, REQ-015, REQ-016, NFR-002, NFR-006</t>
  </si>
  <si>
    <t>End-to-End</t>
  </si>
  <si>
    <t>Execute complete standard purchase journey</t>
  </si>
  <si>
    <t>User completes the full purchase path with consistent cart state, valid checkout data, accurate overview, and successful confirmation.</t>
  </si>
  <si>
    <t>Dashboard</t>
  </si>
  <si>
    <t>TEST EXECUTION DASHBOARD</t>
  </si>
  <si>
    <t>Metric</t>
  </si>
  <si>
    <t>Value</t>
  </si>
  <si>
    <t>Total</t>
  </si>
  <si>
    <t>Total Test Cases</t>
  </si>
  <si>
    <t>Executed</t>
  </si>
  <si>
    <t>Blocked</t>
  </si>
  <si>
    <t>Not Run</t>
  </si>
  <si>
    <t>Execution %</t>
  </si>
  <si>
    <t>Pass Rate %</t>
  </si>
  <si>
    <t>Execution Guidance</t>
  </si>
  <si>
    <t>Use the Execution Log during actual SauceDemo testing. For each test case, enter the observed Actual Result, select a Status, record the tester and execution date, and add a screenshot/evidence reference when helpful. If a case fails, create a Defect Candidate and link its ID back to the execution row. The dashboard will then calculate execution progress and outcome metrics automatically.</t>
  </si>
  <si>
    <t>Environment</t>
  </si>
  <si>
    <t>TEST EXECUTION ENVIRONMENT</t>
  </si>
  <si>
    <t>Application URL</t>
  </si>
  <si>
    <t>https://www.saucedemo.com/</t>
  </si>
  <si>
    <t>Testing Method</t>
  </si>
  <si>
    <t>Manual Functional Testing</t>
  </si>
  <si>
    <t>Primary Browser</t>
  </si>
  <si>
    <t>Google Chrome</t>
  </si>
  <si>
    <t>Operating System</t>
  </si>
  <si>
    <t>macOS / Windows 11</t>
  </si>
  <si>
    <t>Test Account</t>
  </si>
  <si>
    <t>standard_user</t>
  </si>
  <si>
    <t>Locked Account</t>
  </si>
  <si>
    <t>locked_out_user</t>
  </si>
  <si>
    <t>Password</t>
  </si>
  <si>
    <t>secret_sauce</t>
  </si>
  <si>
    <t>Execution Evidence</t>
  </si>
  <si>
    <t>Screenshots / notes / defect references</t>
  </si>
  <si>
    <t>Defect Candidates</t>
  </si>
  <si>
    <t>Candidate ID</t>
  </si>
  <si>
    <t>Summary</t>
  </si>
  <si>
    <t>Observed Result</t>
  </si>
  <si>
    <t>Severity</t>
  </si>
  <si>
    <t>Evidence</t>
  </si>
  <si>
    <t>Created By</t>
  </si>
  <si>
    <t>Created Date</t>
  </si>
  <si>
    <t>DC-001</t>
  </si>
  <si>
    <t>New</t>
  </si>
  <si>
    <t>DC-002</t>
  </si>
  <si>
    <t>DC-003</t>
  </si>
  <si>
    <t>DC-004</t>
  </si>
  <si>
    <t>DC-005</t>
  </si>
  <si>
    <t>DC-006</t>
  </si>
  <si>
    <t>DC-007</t>
  </si>
  <si>
    <t>DC-008</t>
  </si>
  <si>
    <t>DC-009</t>
  </si>
  <si>
    <t>DC-010</t>
  </si>
  <si>
    <t>DC-011</t>
  </si>
  <si>
    <t>DC-012</t>
  </si>
  <si>
    <t>DC-013</t>
  </si>
  <si>
    <t>DC-014</t>
  </si>
  <si>
    <t>DC-015</t>
  </si>
</sst>
</file>

<file path=xl/styles.xml><?xml version="1.0" encoding="utf-8"?>
<styleSheet xmlns="http://schemas.openxmlformats.org/spreadsheetml/2006/main">
  <numFmts count="3">
    <numFmt numFmtId="0" formatCode="General"/>
    <numFmt numFmtId="59" formatCode="m/d/yyyy"/>
    <numFmt numFmtId="60" formatCode="0.0%"/>
  </numFmts>
  <fonts count="15">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8"/>
      <color indexed="12"/>
      <name val="Carlito"/>
    </font>
    <font>
      <b val="1"/>
      <sz val="11"/>
      <color indexed="15"/>
      <name val="Carlito"/>
    </font>
    <font>
      <b val="1"/>
      <sz val="11"/>
      <color indexed="12"/>
      <name val="Carlito"/>
    </font>
    <font>
      <sz val="12"/>
      <color indexed="8"/>
      <name val="Times Roman"/>
    </font>
    <font>
      <b val="1"/>
      <sz val="11"/>
      <color indexed="13"/>
      <name val="Carlito"/>
    </font>
    <font>
      <sz val="10"/>
      <color indexed="8"/>
      <name val="Calibri"/>
    </font>
    <font>
      <b val="1"/>
      <sz val="18"/>
      <color indexed="8"/>
      <name val="Calibri"/>
    </font>
    <font>
      <b val="1"/>
      <sz val="16"/>
      <color indexed="12"/>
      <name val="Carlito"/>
    </font>
    <font>
      <b val="1"/>
      <sz val="11"/>
      <color indexed="8"/>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s>
  <borders count="27">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right/>
      <top style="thin">
        <color indexed="14"/>
      </top>
      <bottom/>
      <diagonal/>
    </border>
    <border>
      <left style="thin">
        <color indexed="14"/>
      </left>
      <right style="thin">
        <color indexed="14"/>
      </right>
      <top/>
      <bottom/>
      <diagonal/>
    </border>
    <border>
      <left style="thin">
        <color indexed="14"/>
      </left>
      <right style="thin">
        <color indexed="14"/>
      </right>
      <top/>
      <bottom style="thin">
        <color indexed="14"/>
      </bottom>
      <diagonal/>
    </border>
    <border>
      <left style="thin">
        <color indexed="14"/>
      </left>
      <right/>
      <top/>
      <bottom/>
      <diagonal/>
    </border>
    <border>
      <left style="thin">
        <color indexed="14"/>
      </left>
      <right style="thin">
        <color indexed="14"/>
      </right>
      <top style="thin">
        <color indexed="14"/>
      </top>
      <bottom/>
      <diagonal/>
    </border>
    <border>
      <left/>
      <right/>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8"/>
      </right>
      <top style="thin">
        <color indexed="8"/>
      </top>
      <bottom style="thin">
        <color indexed="14"/>
      </bottom>
      <diagonal/>
    </border>
    <border>
      <left style="thin">
        <color indexed="18"/>
      </left>
      <right style="thin">
        <color indexed="8"/>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top style="thin">
        <color indexed="18"/>
      </top>
      <bottom style="thin">
        <color indexed="18"/>
      </bottom>
      <diagonal/>
    </border>
    <border>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8"/>
      </left>
      <right style="thin">
        <color indexed="14"/>
      </right>
      <top style="thin">
        <color indexed="18"/>
      </top>
      <bottom style="thin">
        <color indexed="8"/>
      </bottom>
      <diagonal/>
    </border>
    <border>
      <left style="thin">
        <color indexed="14"/>
      </left>
      <right style="thin">
        <color indexed="14"/>
      </right>
      <top style="thin">
        <color indexed="18"/>
      </top>
      <bottom style="thin">
        <color indexed="8"/>
      </bottom>
      <diagonal/>
    </border>
    <border>
      <left style="thin">
        <color indexed="14"/>
      </left>
      <right style="thin">
        <color indexed="8"/>
      </right>
      <top style="thin">
        <color indexed="14"/>
      </top>
      <bottom style="thin">
        <color indexed="8"/>
      </bottom>
      <diagonal/>
    </border>
    <border>
      <left/>
      <right/>
      <top style="thin">
        <color indexed="14"/>
      </top>
      <bottom style="thin">
        <color indexed="14"/>
      </bottom>
      <diagonal/>
    </border>
    <border>
      <left style="thin">
        <color indexed="14"/>
      </left>
      <right/>
      <top/>
      <bottom style="thin">
        <color indexed="14"/>
      </bottom>
      <diagonal/>
    </border>
    <border>
      <left style="thin">
        <color indexed="18"/>
      </left>
      <right style="thin">
        <color indexed="14"/>
      </right>
      <top style="thin">
        <color indexed="14"/>
      </top>
      <bottom style="thin">
        <color indexed="14"/>
      </bottom>
      <diagonal/>
    </border>
    <border>
      <left style="thin">
        <color indexed="14"/>
      </left>
      <right style="thin">
        <color indexed="14"/>
      </right>
      <top style="thin">
        <color indexed="18"/>
      </top>
      <bottom style="thin">
        <color indexed="14"/>
      </bottom>
      <diagonal/>
    </border>
  </borders>
  <cellStyleXfs count="1">
    <xf numFmtId="0" fontId="0" applyNumberFormat="0" applyFont="1" applyFill="0" applyBorder="0" applyAlignment="1" applyProtection="0">
      <alignment vertical="bottom"/>
    </xf>
  </cellStyleXfs>
  <cellXfs count="6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6" fillId="4" borderId="1" applyNumberFormat="0" applyFont="1" applyFill="1" applyBorder="1" applyAlignment="1" applyProtection="0">
      <alignment horizontal="center" vertical="center"/>
    </xf>
    <xf numFmtId="0" fontId="6" fillId="4" borderId="4" applyNumberFormat="0"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fillId="5" borderId="7" applyNumberFormat="1" applyFont="1" applyFill="1" applyBorder="1" applyAlignment="1" applyProtection="0">
      <alignment vertical="bottom" wrapText="1"/>
    </xf>
    <xf numFmtId="49" fontId="0" fillId="6" borderId="2" applyNumberFormat="1" applyFont="1" applyFill="1" applyBorder="1" applyAlignment="1" applyProtection="0">
      <alignment vertical="bottom" wrapText="1"/>
    </xf>
    <xf numFmtId="0" fontId="0" borderId="8" applyNumberFormat="0" applyFont="1" applyFill="0" applyBorder="1" applyAlignment="1" applyProtection="0">
      <alignment vertical="bottom"/>
    </xf>
    <xf numFmtId="49" fontId="8" fillId="7" borderId="7" applyNumberFormat="1" applyFont="1" applyFill="1" applyBorder="1" applyAlignment="1" applyProtection="0">
      <alignment vertical="bottom"/>
    </xf>
    <xf numFmtId="0" fontId="8" fillId="7" borderId="7" applyNumberFormat="0" applyFont="1" applyFill="1" applyBorder="1" applyAlignment="1" applyProtection="0">
      <alignment vertical="bottom"/>
    </xf>
    <xf numFmtId="0" fontId="8" fillId="7" borderId="9" applyNumberFormat="0" applyFont="1" applyFill="1" applyBorder="1" applyAlignment="1" applyProtection="0">
      <alignment vertical="bottom"/>
    </xf>
    <xf numFmtId="49" fontId="0" fillId="6" borderId="6" applyNumberFormat="1" applyFont="1" applyFill="1" applyBorder="1" applyAlignment="1" applyProtection="0">
      <alignment vertical="bottom" wrapText="1"/>
    </xf>
    <xf numFmtId="0" fontId="0" fillId="6" borderId="3" applyNumberFormat="0" applyFont="1" applyFill="1" applyBorder="1" applyAlignment="1" applyProtection="0">
      <alignment vertical="bottom" wrapText="1"/>
    </xf>
    <xf numFmtId="0" fontId="0" fillId="6" borderId="6" applyNumberFormat="0" applyFont="1" applyFill="1" applyBorder="1" applyAlignment="1" applyProtection="0">
      <alignment vertical="bottom" wrapText="1"/>
    </xf>
    <xf numFmtId="49" fontId="8" fillId="4" borderId="7" applyNumberFormat="1" applyFont="1" applyFill="1" applyBorder="1" applyAlignment="1" applyProtection="0">
      <alignment horizontal="center" vertical="bottom" wrapText="1"/>
    </xf>
    <xf numFmtId="49" fontId="8" fillId="4" borderId="9" applyNumberFormat="1" applyFont="1" applyFill="1" applyBorder="1" applyAlignment="1" applyProtection="0">
      <alignment horizontal="center" vertical="bottom" wrapText="1"/>
    </xf>
    <xf numFmtId="49" fontId="0" fillId="6" borderId="3"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10" applyNumberFormat="1" applyFont="1" applyFill="1" applyBorder="1" applyAlignment="1" applyProtection="0">
      <alignment horizontal="center" vertical="center" wrapText="1"/>
    </xf>
    <xf numFmtId="49" fontId="8" fillId="4" borderId="11" applyNumberFormat="1" applyFont="1" applyFill="1" applyBorder="1" applyAlignment="1" applyProtection="0">
      <alignment horizontal="center" vertical="center" wrapText="1"/>
    </xf>
    <xf numFmtId="49" fontId="8" fillId="4" borderId="12" applyNumberFormat="1" applyFont="1" applyFill="1" applyBorder="1" applyAlignment="1" applyProtection="0">
      <alignment horizontal="center" vertical="center" wrapText="1"/>
    </xf>
    <xf numFmtId="0" fontId="0" borderId="13" applyNumberFormat="0" applyFont="1" applyFill="0" applyBorder="1" applyAlignment="1" applyProtection="0">
      <alignment vertical="bottom"/>
    </xf>
    <xf numFmtId="49" fontId="0" fillId="8" borderId="10" applyNumberFormat="1" applyFont="1" applyFill="1" applyBorder="1" applyAlignment="1" applyProtection="0">
      <alignment vertical="bottom" wrapText="1"/>
    </xf>
    <xf numFmtId="49" fontId="0" fillId="8" borderId="11" applyNumberFormat="1" applyFont="1" applyFill="1" applyBorder="1" applyAlignment="1" applyProtection="0">
      <alignment vertical="bottom" wrapText="1"/>
    </xf>
    <xf numFmtId="0" fontId="0" fillId="8" borderId="11" applyNumberFormat="0" applyFont="1" applyFill="1" applyBorder="1" applyAlignment="1" applyProtection="0">
      <alignment vertical="bottom" wrapText="1"/>
    </xf>
    <xf numFmtId="59" fontId="0" fillId="8" borderId="11" applyNumberFormat="1" applyFont="1" applyFill="1" applyBorder="1" applyAlignment="1" applyProtection="0">
      <alignment vertical="bottom" wrapText="1"/>
    </xf>
    <xf numFmtId="0" fontId="0" fillId="8" borderId="12" applyNumberFormat="0" applyFont="1" applyFill="1" applyBorder="1" applyAlignment="1" applyProtection="0">
      <alignment vertical="bottom" wrapText="1"/>
    </xf>
    <xf numFmtId="0" fontId="0" borderId="14" applyNumberFormat="0" applyFont="1" applyFill="0" applyBorder="1" applyAlignment="1" applyProtection="0">
      <alignment vertical="bottom"/>
    </xf>
    <xf numFmtId="49" fontId="0" fillId="6" borderId="15" applyNumberFormat="1" applyFont="1" applyFill="1" applyBorder="1" applyAlignment="1" applyProtection="0">
      <alignment vertical="bottom" wrapText="1"/>
    </xf>
    <xf numFmtId="49" fontId="0" fillId="6" borderId="16" applyNumberFormat="1" applyFont="1" applyFill="1" applyBorder="1" applyAlignment="1" applyProtection="0">
      <alignment vertical="bottom" wrapText="1"/>
    </xf>
    <xf numFmtId="0" fontId="0" fillId="6" borderId="16" applyNumberFormat="0" applyFont="1" applyFill="1" applyBorder="1" applyAlignment="1" applyProtection="0">
      <alignment vertical="bottom" wrapText="1"/>
    </xf>
    <xf numFmtId="0" fontId="0" fillId="6" borderId="17" applyNumberFormat="0" applyFont="1" applyFill="1" applyBorder="1" applyAlignment="1" applyProtection="0">
      <alignment vertical="bottom" wrapText="1"/>
    </xf>
    <xf numFmtId="49" fontId="0" fillId="6" borderId="18" applyNumberFormat="1" applyFont="1" applyFill="1" applyBorder="1" applyAlignment="1" applyProtection="0">
      <alignment vertical="bottom" wrapText="1"/>
    </xf>
    <xf numFmtId="0" fontId="0" fillId="6" borderId="19" applyNumberFormat="0" applyFont="1" applyFill="1" applyBorder="1" applyAlignment="1" applyProtection="0">
      <alignment vertical="bottom" wrapText="1"/>
    </xf>
    <xf numFmtId="49" fontId="9" fillId="6" borderId="16" applyNumberFormat="1" applyFont="1" applyFill="1" applyBorder="1" applyAlignment="1" applyProtection="0">
      <alignment vertical="bottom" wrapText="1" readingOrder="1"/>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49" fontId="8" fillId="7" borderId="9" applyNumberFormat="1" applyFont="1" applyFill="1" applyBorder="1" applyAlignment="1" applyProtection="0">
      <alignment vertical="bottom"/>
    </xf>
    <xf numFmtId="0" fontId="0" borderId="23" applyNumberFormat="0"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60" fontId="0" borderId="3" applyNumberFormat="1" applyFont="1" applyFill="0" applyBorder="1" applyAlignment="1" applyProtection="0">
      <alignment vertical="bottom"/>
    </xf>
    <xf numFmtId="49" fontId="10" fillId="5" borderId="7" applyNumberFormat="1" applyFont="1" applyFill="1" applyBorder="1" applyAlignment="1" applyProtection="0">
      <alignment vertical="bottom"/>
    </xf>
    <xf numFmtId="0" fontId="0" applyNumberFormat="1" applyFont="1" applyFill="0" applyBorder="0" applyAlignment="1" applyProtection="0">
      <alignment vertical="bottom"/>
    </xf>
    <xf numFmtId="49" fontId="13" fillId="4" borderId="1" applyNumberFormat="1" applyFont="1" applyFill="1" applyBorder="1" applyAlignment="1" applyProtection="0">
      <alignment horizontal="center" vertical="bottom"/>
    </xf>
    <xf numFmtId="49" fontId="14" fillId="5" borderId="7" applyNumberFormat="1" applyFont="1" applyFill="1" applyBorder="1" applyAlignment="1" applyProtection="0">
      <alignment vertical="bottom" wrapText="1"/>
    </xf>
    <xf numFmtId="49" fontId="14" fillId="5" borderId="24"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10" applyNumberFormat="1" applyFont="1" applyFill="1" applyBorder="1" applyAlignment="1" applyProtection="0">
      <alignment horizontal="center" vertical="bottom" wrapText="1"/>
    </xf>
    <xf numFmtId="49" fontId="8" fillId="4" borderId="11" applyNumberFormat="1" applyFont="1" applyFill="1" applyBorder="1" applyAlignment="1" applyProtection="0">
      <alignment horizontal="center" vertical="bottom" wrapText="1"/>
    </xf>
    <xf numFmtId="49" fontId="8" fillId="4" borderId="12" applyNumberFormat="1" applyFont="1" applyFill="1" applyBorder="1" applyAlignment="1" applyProtection="0">
      <alignment horizontal="center" vertical="bottom" wrapText="1"/>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aaaaaa"/>
      <rgbColor rgb="ff1f1f1f"/>
      <rgbColor rgb="ffd9eaf7"/>
      <rgbColor rgb="ff4472c4"/>
      <rgbColor rgb="ff729fb3"/>
      <rgbColor rgb="ffd0dfe5"/>
      <rgbColor rgb="ffd9d9d9"/>
      <rgbColor rgb="ff878787"/>
      <rgbColor rgb="ff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Execution Outcomes by Module</a:t>
            </a:r>
          </a:p>
        </c:rich>
      </c:tx>
      <c:layout>
        <c:manualLayout>
          <c:xMode val="edge"/>
          <c:yMode val="edge"/>
          <c:x val="0.212309"/>
          <c:y val="0"/>
          <c:w val="0.575381"/>
          <c:h val="0.144656"/>
        </c:manualLayout>
      </c:layout>
      <c:overlay val="1"/>
      <c:spPr>
        <a:noFill/>
        <a:effectLst/>
      </c:spPr>
    </c:title>
    <c:autoTitleDeleted val="1"/>
    <c:plotArea>
      <c:layout>
        <c:manualLayout>
          <c:layoutTarget val="inner"/>
          <c:xMode val="edge"/>
          <c:yMode val="edge"/>
          <c:x val="0.0706437"/>
          <c:y val="0.144656"/>
          <c:w val="0.924356"/>
          <c:h val="0.683768"/>
        </c:manualLayout>
      </c:layout>
      <c:barChart>
        <c:barDir val="col"/>
        <c:grouping val="clustered"/>
        <c:varyColors val="0"/>
        <c:ser>
          <c:idx val="0"/>
          <c:order val="0"/>
          <c:tx>
            <c:v>Total</c:v>
          </c:tx>
          <c:spPr>
            <a:solidFill>
              <a:schemeClr val="accent1"/>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'Dashboard'!$D$4:$D$13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'Dashboard'!$E$4:$E$13</c:f>
              <c:numCache>
                <c:ptCount val="10"/>
                <c:pt idx="0">
                  <c:v>6.000000</c:v>
                </c:pt>
                <c:pt idx="1">
                  <c:v>6.000000</c:v>
                </c:pt>
                <c:pt idx="2">
                  <c:v>2.000000</c:v>
                </c:pt>
                <c:pt idx="3">
                  <c:v>9.000000</c:v>
                </c:pt>
                <c:pt idx="4">
                  <c:v>8.000000</c:v>
                </c:pt>
                <c:pt idx="5">
                  <c:v>3.000000</c:v>
                </c:pt>
                <c:pt idx="6">
                  <c:v>3.000000</c:v>
                </c:pt>
                <c:pt idx="7">
                  <c:v>2.000000</c:v>
                </c:pt>
                <c:pt idx="8">
                  <c:v>2.000000</c:v>
                </c:pt>
                <c:pt idx="9">
                  <c:v>1.000000</c:v>
                </c:pt>
              </c:numCache>
            </c:numRef>
          </c:val>
        </c:ser>
        <c:ser>
          <c:idx val="1"/>
          <c:order val="1"/>
          <c:tx>
            <c:v>Pass</c:v>
          </c:tx>
          <c:spPr>
            <a:solidFill>
              <a:schemeClr val="accent2"/>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'Dashboard'!$D$4:$D$13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'Dashboard'!$F$4:$F$13</c:f>
              <c:numCache>
                <c:ptCount val="10"/>
                <c:pt idx="0">
                  <c:v>6.000000</c:v>
                </c:pt>
                <c:pt idx="1">
                  <c:v>6.000000</c:v>
                </c:pt>
                <c:pt idx="2">
                  <c:v>2.000000</c:v>
                </c:pt>
                <c:pt idx="3">
                  <c:v>9.000000</c:v>
                </c:pt>
                <c:pt idx="4">
                  <c:v>8.000000</c:v>
                </c:pt>
                <c:pt idx="5">
                  <c:v>3.000000</c:v>
                </c:pt>
                <c:pt idx="6">
                  <c:v>3.000000</c:v>
                </c:pt>
                <c:pt idx="7">
                  <c:v>2.000000</c:v>
                </c:pt>
                <c:pt idx="8">
                  <c:v>1.000000</c:v>
                </c:pt>
                <c:pt idx="9">
                  <c:v>1.000000</c:v>
                </c:pt>
              </c:numCache>
            </c:numRef>
          </c:val>
        </c:ser>
        <c:ser>
          <c:idx val="2"/>
          <c:order val="2"/>
          <c:tx>
            <c:v>Fail</c:v>
          </c:tx>
          <c:spPr>
            <a:solidFill>
              <a:schemeClr val="accent3"/>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'Dashboard'!$D$4:$D$13</c:f>
              <c:strCache>
                <c:ptCount val="10"/>
                <c:pt idx="0">
                  <c:v>Authentication</c:v>
                </c:pt>
                <c:pt idx="1">
                  <c:v>Inventory</c:v>
                </c:pt>
                <c:pt idx="2">
                  <c:v>Product Details</c:v>
                </c:pt>
                <c:pt idx="3">
                  <c:v>Cart</c:v>
                </c:pt>
                <c:pt idx="4">
                  <c:v>Checkout</c:v>
                </c:pt>
                <c:pt idx="5">
                  <c:v>Order Completion</c:v>
                </c:pt>
                <c:pt idx="6">
                  <c:v>Navigation</c:v>
                </c:pt>
                <c:pt idx="7">
                  <c:v>Session</c:v>
                </c:pt>
                <c:pt idx="8">
                  <c:v>Usability &amp; UI</c:v>
                </c:pt>
                <c:pt idx="9">
                  <c:v>End-to-End</c:v>
                </c:pt>
              </c:strCache>
            </c:strRef>
          </c:cat>
          <c:val>
            <c:numRef>
              <c:f>'Dashboard'!$G$4:$G$13</c:f>
              <c:numCache>
                <c:ptCount val="10"/>
                <c:pt idx="0">
                  <c:v>0.000000</c:v>
                </c:pt>
                <c:pt idx="1">
                  <c:v>0.000000</c:v>
                </c:pt>
                <c:pt idx="2">
                  <c:v>0.000000</c:v>
                </c:pt>
                <c:pt idx="3">
                  <c:v>0.000000</c:v>
                </c:pt>
                <c:pt idx="4">
                  <c:v>0.000000</c:v>
                </c:pt>
                <c:pt idx="5">
                  <c:v>0.000000</c:v>
                </c:pt>
                <c:pt idx="6">
                  <c:v>0.000000</c:v>
                </c:pt>
                <c:pt idx="7">
                  <c:v>0.000000</c:v>
                </c:pt>
                <c:pt idx="8">
                  <c:v>1.000000</c:v>
                </c:pt>
                <c:pt idx="9">
                  <c:v>0.000000</c:v>
                </c:pt>
              </c:numCache>
            </c:numRef>
          </c:val>
        </c:ser>
        <c:gapWidth val="150"/>
        <c:overlap val="0"/>
        <c:axId val="2094734552"/>
        <c:axId val="2094734553"/>
      </c:barChart>
      <c:catAx>
        <c:axId val="2094734552"/>
        <c:scaling>
          <c:orientation val="minMax"/>
        </c:scaling>
        <c:delete val="0"/>
        <c:axPos val="b"/>
        <c:majorGridlines>
          <c:spPr>
            <a:ln w="12700" cap="flat">
              <a:solidFill>
                <a:srgbClr val="CCCCCC"/>
              </a:solidFill>
              <a:prstDash val="dash"/>
              <a:round/>
            </a:ln>
          </c:spPr>
        </c:majorGridlines>
        <c:numFmt formatCode="General" sourceLinked="1"/>
        <c:majorTickMark val="none"/>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CCCCCC"/>
              </a:solidFill>
              <a:prstDash val="dash"/>
              <a:round/>
            </a:ln>
          </c:spPr>
        </c:majorGridlines>
        <c:numFmt formatCode="General" sourceLinked="1"/>
        <c:majorTickMark val="none"/>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2.25"/>
        <c:minorUnit val="1.125"/>
      </c:valAx>
      <c:spPr>
        <a:solidFill>
          <a:srgbClr val="FFFFFF"/>
        </a:solidFill>
        <a:ln w="12700" cap="flat">
          <a:noFill/>
          <a:miter lim="400000"/>
        </a:ln>
        <a:effectLst/>
      </c:spPr>
    </c:plotArea>
    <c:legend>
      <c:legendPos val="b"/>
      <c:layout>
        <c:manualLayout>
          <c:xMode val="edge"/>
          <c:yMode val="edge"/>
          <c:x val="0.355697"/>
          <c:y val="0.935144"/>
          <c:w val="0.326695"/>
          <c:h val="0.0648558"/>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638054</xdr:colOff>
      <xdr:row>2</xdr:row>
      <xdr:rowOff>140923</xdr:rowOff>
    </xdr:from>
    <xdr:to>
      <xdr:col>16</xdr:col>
      <xdr:colOff>507999</xdr:colOff>
      <xdr:row>18</xdr:row>
      <xdr:rowOff>5625</xdr:rowOff>
    </xdr:to>
    <xdr:graphicFrame>
      <xdr:nvGraphicFramePr>
        <xdr:cNvPr id="2" name="Chart"/>
        <xdr:cNvGraphicFramePr/>
      </xdr:nvGraphicFramePr>
      <xdr:xfrm>
        <a:off x="9909054" y="592408"/>
        <a:ext cx="5254746" cy="261806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51</v>
      </c>
      <c r="C11" s="3"/>
      <c r="D11" s="3"/>
    </row>
    <row r="12">
      <c r="B12" s="4"/>
      <c r="C12" t="s" s="4">
        <v>5</v>
      </c>
      <c r="D12" t="s" s="5">
        <v>51</v>
      </c>
    </row>
    <row r="13">
      <c r="B13" t="s" s="3">
        <v>314</v>
      </c>
      <c r="C13" s="3"/>
      <c r="D13" s="3"/>
    </row>
    <row r="14">
      <c r="B14" s="4"/>
      <c r="C14" t="s" s="4">
        <v>5</v>
      </c>
      <c r="D14" t="s" s="5">
        <v>314</v>
      </c>
    </row>
    <row r="15">
      <c r="B15" t="s" s="3">
        <v>327</v>
      </c>
      <c r="C15" s="3"/>
      <c r="D15" s="3"/>
    </row>
    <row r="16">
      <c r="B16" s="4"/>
      <c r="C16" t="s" s="4">
        <v>5</v>
      </c>
      <c r="D16" t="s" s="5">
        <v>327</v>
      </c>
    </row>
    <row r="17">
      <c r="B17" t="s" s="3">
        <v>345</v>
      </c>
      <c r="C17" s="3"/>
      <c r="D17" s="3"/>
    </row>
    <row r="18">
      <c r="B18" s="4"/>
      <c r="C18" t="s" s="4">
        <v>5</v>
      </c>
      <c r="D18" t="s" s="5">
        <v>345</v>
      </c>
    </row>
  </sheetData>
  <mergeCells count="1">
    <mergeCell ref="B3:D3"/>
  </mergeCells>
  <hyperlinks>
    <hyperlink ref="D10" location="'Overview'!R1C1" tooltip="" display="Overview"/>
    <hyperlink ref="D12" location="'Execution Log'!R1C1" tooltip="" display="Execution Log"/>
    <hyperlink ref="D14" location="'Dashboard'!R1C1" tooltip="" display="Dashboard"/>
    <hyperlink ref="D16" location="'Environment'!R1C1" tooltip="" display="Environment"/>
    <hyperlink ref="D18" location="'Defect Candidates'!R1C1" tooltip="" display="Defect Candidates"/>
  </hyperlinks>
</worksheet>
</file>

<file path=xl/worksheets/sheet2.xml><?xml version="1.0" encoding="utf-8"?>
<worksheet xmlns:r="http://schemas.openxmlformats.org/officeDocument/2006/relationships" xmlns="http://schemas.openxmlformats.org/spreadsheetml/2006/main">
  <dimension ref="A1:L24"/>
  <sheetViews>
    <sheetView workbookViewId="0" showGridLines="0" defaultGridColor="1"/>
  </sheetViews>
  <sheetFormatPr defaultColWidth="8.83333" defaultRowHeight="15" customHeight="1" outlineLevelRow="0" outlineLevelCol="0"/>
  <cols>
    <col min="1" max="1" width="24" style="6" customWidth="1"/>
    <col min="2" max="2" width="34" style="6" customWidth="1"/>
    <col min="3" max="4" width="30" style="6" customWidth="1"/>
    <col min="5" max="12" width="8.85156" style="6" customWidth="1"/>
    <col min="13" max="16384" width="8.85156" style="6" customWidth="1"/>
  </cols>
  <sheetData>
    <row r="1" ht="34" customHeight="1">
      <c r="A1" t="s" s="7">
        <v>6</v>
      </c>
      <c r="B1" s="8"/>
      <c r="C1" s="9"/>
      <c r="D1" s="9"/>
      <c r="E1" s="9"/>
      <c r="F1" s="9"/>
      <c r="G1" s="9"/>
      <c r="H1" s="9"/>
      <c r="I1" s="10"/>
      <c r="J1" s="11"/>
      <c r="K1" s="11"/>
      <c r="L1" s="11"/>
    </row>
    <row r="2" ht="13.55" customHeight="1">
      <c r="A2" s="12"/>
      <c r="B2" s="9"/>
      <c r="C2" s="9"/>
      <c r="D2" s="9"/>
      <c r="E2" s="9"/>
      <c r="F2" s="9"/>
      <c r="G2" s="9"/>
      <c r="H2" s="9"/>
      <c r="I2" s="13"/>
      <c r="J2" s="13"/>
      <c r="K2" s="13"/>
      <c r="L2" s="13"/>
    </row>
    <row r="3" ht="13.55" customHeight="1">
      <c r="A3" t="s" s="14">
        <v>7</v>
      </c>
      <c r="B3" t="s" s="15">
        <v>8</v>
      </c>
      <c r="C3" s="9"/>
      <c r="D3" s="9"/>
      <c r="E3" s="9"/>
      <c r="F3" s="9"/>
      <c r="G3" s="9"/>
      <c r="H3" s="9"/>
      <c r="I3" s="9"/>
      <c r="J3" s="9"/>
      <c r="K3" s="9"/>
      <c r="L3" s="9"/>
    </row>
    <row r="4" ht="13.55" customHeight="1">
      <c r="A4" t="s" s="14">
        <v>9</v>
      </c>
      <c r="B4" t="s" s="15">
        <v>10</v>
      </c>
      <c r="C4" s="9"/>
      <c r="D4" s="9"/>
      <c r="E4" s="9"/>
      <c r="F4" s="9"/>
      <c r="G4" s="9"/>
      <c r="H4" s="9"/>
      <c r="I4" s="9"/>
      <c r="J4" s="9"/>
      <c r="K4" s="9"/>
      <c r="L4" s="9"/>
    </row>
    <row r="5" ht="13.55" customHeight="1">
      <c r="A5" t="s" s="14">
        <v>11</v>
      </c>
      <c r="B5" t="s" s="15">
        <v>12</v>
      </c>
      <c r="C5" s="9"/>
      <c r="D5" s="9"/>
      <c r="E5" s="9"/>
      <c r="F5" s="9"/>
      <c r="G5" s="9"/>
      <c r="H5" s="9"/>
      <c r="I5" s="9"/>
      <c r="J5" s="9"/>
      <c r="K5" s="9"/>
      <c r="L5" s="9"/>
    </row>
    <row r="6" ht="13.55" customHeight="1">
      <c r="A6" t="s" s="14">
        <v>13</v>
      </c>
      <c r="B6" t="s" s="15">
        <v>14</v>
      </c>
      <c r="C6" s="9"/>
      <c r="D6" s="9"/>
      <c r="E6" s="9"/>
      <c r="F6" s="9"/>
      <c r="G6" s="9"/>
      <c r="H6" s="9"/>
      <c r="I6" s="9"/>
      <c r="J6" s="9"/>
      <c r="K6" s="9"/>
      <c r="L6" s="9"/>
    </row>
    <row r="7" ht="13.55" customHeight="1">
      <c r="A7" t="s" s="14">
        <v>15</v>
      </c>
      <c r="B7" t="s" s="15">
        <v>16</v>
      </c>
      <c r="C7" s="9"/>
      <c r="D7" s="9"/>
      <c r="E7" s="9"/>
      <c r="F7" s="9"/>
      <c r="G7" s="9"/>
      <c r="H7" s="9"/>
      <c r="I7" s="9"/>
      <c r="J7" s="9"/>
      <c r="K7" s="9"/>
      <c r="L7" s="9"/>
    </row>
    <row r="8" ht="13.55" customHeight="1">
      <c r="A8" t="s" s="14">
        <v>17</v>
      </c>
      <c r="B8" t="s" s="15">
        <v>18</v>
      </c>
      <c r="C8" s="9"/>
      <c r="D8" s="9"/>
      <c r="E8" s="9"/>
      <c r="F8" s="9"/>
      <c r="G8" s="9"/>
      <c r="H8" s="9"/>
      <c r="I8" s="9"/>
      <c r="J8" s="9"/>
      <c r="K8" s="9"/>
      <c r="L8" s="9"/>
    </row>
    <row r="9" ht="13.55" customHeight="1">
      <c r="A9" t="s" s="14">
        <v>19</v>
      </c>
      <c r="B9" t="s" s="15">
        <v>20</v>
      </c>
      <c r="C9" s="9"/>
      <c r="D9" s="9"/>
      <c r="E9" s="9"/>
      <c r="F9" s="9"/>
      <c r="G9" s="9"/>
      <c r="H9" s="9"/>
      <c r="I9" s="9"/>
      <c r="J9" s="9"/>
      <c r="K9" s="9"/>
      <c r="L9" s="9"/>
    </row>
    <row r="10" ht="13.55" customHeight="1">
      <c r="A10" t="s" s="14">
        <v>21</v>
      </c>
      <c r="B10" t="s" s="15">
        <v>22</v>
      </c>
      <c r="C10" s="9"/>
      <c r="D10" s="9"/>
      <c r="E10" s="9"/>
      <c r="F10" s="9"/>
      <c r="G10" s="9"/>
      <c r="H10" s="9"/>
      <c r="I10" s="9"/>
      <c r="J10" s="9"/>
      <c r="K10" s="9"/>
      <c r="L10" s="9"/>
    </row>
    <row r="11" ht="13.55" customHeight="1">
      <c r="A11" t="s" s="14">
        <v>23</v>
      </c>
      <c r="B11" t="s" s="15">
        <v>24</v>
      </c>
      <c r="C11" s="9"/>
      <c r="D11" s="9"/>
      <c r="E11" s="9"/>
      <c r="F11" s="9"/>
      <c r="G11" s="9"/>
      <c r="H11" s="9"/>
      <c r="I11" s="9"/>
      <c r="J11" s="9"/>
      <c r="K11" s="9"/>
      <c r="L11" s="9"/>
    </row>
    <row r="12" ht="13.55" customHeight="1">
      <c r="A12" s="12"/>
      <c r="B12" s="9"/>
      <c r="C12" s="9"/>
      <c r="D12" s="9"/>
      <c r="E12" s="9"/>
      <c r="F12" s="9"/>
      <c r="G12" s="9"/>
      <c r="H12" s="9"/>
      <c r="I12" s="16"/>
      <c r="J12" s="16"/>
      <c r="K12" s="16"/>
      <c r="L12" s="16"/>
    </row>
    <row r="13" ht="13.55" customHeight="1">
      <c r="A13" t="s" s="17">
        <v>25</v>
      </c>
      <c r="B13" s="8"/>
      <c r="C13" s="9"/>
      <c r="D13" s="9"/>
      <c r="E13" s="9"/>
      <c r="F13" s="9"/>
      <c r="G13" s="9"/>
      <c r="H13" s="9"/>
      <c r="I13" s="18"/>
      <c r="J13" s="19"/>
      <c r="K13" s="19"/>
      <c r="L13" s="19"/>
    </row>
    <row r="14" ht="13.55" customHeight="1">
      <c r="A14" t="s" s="20">
        <v>26</v>
      </c>
      <c r="B14" s="21"/>
      <c r="C14" s="21"/>
      <c r="D14" s="21"/>
      <c r="E14" s="21"/>
      <c r="F14" s="21"/>
      <c r="G14" s="21"/>
      <c r="H14" s="21"/>
      <c r="I14" s="22"/>
      <c r="J14" s="22"/>
      <c r="K14" s="22"/>
      <c r="L14" s="22"/>
    </row>
    <row r="15" ht="13.55" customHeight="1">
      <c r="A15" s="21"/>
      <c r="B15" s="21"/>
      <c r="C15" s="21"/>
      <c r="D15" s="21"/>
      <c r="E15" s="21"/>
      <c r="F15" s="21"/>
      <c r="G15" s="21"/>
      <c r="H15" s="21"/>
      <c r="I15" s="21"/>
      <c r="J15" s="21"/>
      <c r="K15" s="21"/>
      <c r="L15" s="21"/>
    </row>
    <row r="16" ht="13.55" customHeight="1">
      <c r="A16" s="21"/>
      <c r="B16" s="21"/>
      <c r="C16" s="21"/>
      <c r="D16" s="21"/>
      <c r="E16" s="21"/>
      <c r="F16" s="21"/>
      <c r="G16" s="21"/>
      <c r="H16" s="21"/>
      <c r="I16" s="21"/>
      <c r="J16" s="21"/>
      <c r="K16" s="21"/>
      <c r="L16" s="21"/>
    </row>
    <row r="17" ht="13.55" customHeight="1">
      <c r="A17" s="21"/>
      <c r="B17" s="21"/>
      <c r="C17" s="21"/>
      <c r="D17" s="21"/>
      <c r="E17" s="21"/>
      <c r="F17" s="21"/>
      <c r="G17" s="21"/>
      <c r="H17" s="21"/>
      <c r="I17" s="21"/>
      <c r="J17" s="21"/>
      <c r="K17" s="21"/>
      <c r="L17" s="21"/>
    </row>
    <row r="18" ht="13.55" customHeight="1">
      <c r="A18" s="16"/>
      <c r="B18" s="16"/>
      <c r="C18" s="16"/>
      <c r="D18" s="16"/>
      <c r="E18" s="9"/>
      <c r="F18" s="9"/>
      <c r="G18" s="9"/>
      <c r="H18" s="9"/>
      <c r="I18" s="9"/>
      <c r="J18" s="9"/>
      <c r="K18" s="9"/>
      <c r="L18" s="9"/>
    </row>
    <row r="19" ht="13.55" customHeight="1">
      <c r="A19" t="s" s="23">
        <v>27</v>
      </c>
      <c r="B19" t="s" s="24">
        <v>28</v>
      </c>
      <c r="C19" t="s" s="24">
        <v>29</v>
      </c>
      <c r="D19" t="s" s="24">
        <v>30</v>
      </c>
      <c r="E19" s="8"/>
      <c r="F19" s="9"/>
      <c r="G19" s="9"/>
      <c r="H19" s="9"/>
      <c r="I19" s="9"/>
      <c r="J19" s="9"/>
      <c r="K19" s="9"/>
      <c r="L19" s="9"/>
    </row>
    <row r="20" ht="26.55" customHeight="1">
      <c r="A20" t="s" s="20">
        <v>31</v>
      </c>
      <c r="B20" t="s" s="20">
        <v>32</v>
      </c>
      <c r="C20" t="s" s="20">
        <v>33</v>
      </c>
      <c r="D20" t="s" s="20">
        <v>34</v>
      </c>
      <c r="E20" s="9"/>
      <c r="F20" s="9"/>
      <c r="G20" s="9"/>
      <c r="H20" s="9"/>
      <c r="I20" s="9"/>
      <c r="J20" s="9"/>
      <c r="K20" s="9"/>
      <c r="L20" s="9"/>
    </row>
    <row r="21" ht="26.55" customHeight="1">
      <c r="A21" t="s" s="25">
        <v>35</v>
      </c>
      <c r="B21" t="s" s="25">
        <v>36</v>
      </c>
      <c r="C21" t="s" s="25">
        <v>37</v>
      </c>
      <c r="D21" t="s" s="25">
        <v>38</v>
      </c>
      <c r="E21" s="9"/>
      <c r="F21" s="9"/>
      <c r="G21" s="9"/>
      <c r="H21" s="9"/>
      <c r="I21" s="9"/>
      <c r="J21" s="9"/>
      <c r="K21" s="9"/>
      <c r="L21" s="9"/>
    </row>
    <row r="22" ht="26.55" customHeight="1">
      <c r="A22" t="s" s="25">
        <v>39</v>
      </c>
      <c r="B22" t="s" s="25">
        <v>40</v>
      </c>
      <c r="C22" t="s" s="25">
        <v>41</v>
      </c>
      <c r="D22" t="s" s="25">
        <v>42</v>
      </c>
      <c r="E22" s="9"/>
      <c r="F22" s="9"/>
      <c r="G22" s="9"/>
      <c r="H22" s="9"/>
      <c r="I22" s="9"/>
      <c r="J22" s="9"/>
      <c r="K22" s="9"/>
      <c r="L22" s="9"/>
    </row>
    <row r="23" ht="26.55" customHeight="1">
      <c r="A23" t="s" s="25">
        <v>43</v>
      </c>
      <c r="B23" t="s" s="25">
        <v>44</v>
      </c>
      <c r="C23" t="s" s="25">
        <v>45</v>
      </c>
      <c r="D23" t="s" s="25">
        <v>46</v>
      </c>
      <c r="E23" s="9"/>
      <c r="F23" s="9"/>
      <c r="G23" s="9"/>
      <c r="H23" s="9"/>
      <c r="I23" s="9"/>
      <c r="J23" s="9"/>
      <c r="K23" s="9"/>
      <c r="L23" s="9"/>
    </row>
    <row r="24" ht="26.55" customHeight="1">
      <c r="A24" t="s" s="25">
        <v>47</v>
      </c>
      <c r="B24" t="s" s="25">
        <v>48</v>
      </c>
      <c r="C24" t="s" s="25">
        <v>49</v>
      </c>
      <c r="D24" t="s" s="25">
        <v>50</v>
      </c>
      <c r="E24" s="9"/>
      <c r="F24" s="9"/>
      <c r="G24" s="9"/>
      <c r="H24" s="9"/>
      <c r="I24" s="9"/>
      <c r="J24" s="9"/>
      <c r="K24" s="9"/>
      <c r="L24" s="9"/>
    </row>
  </sheetData>
  <mergeCells count="3">
    <mergeCell ref="A1:H1"/>
    <mergeCell ref="A13:H13"/>
    <mergeCell ref="A14:H1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44"/>
  <sheetViews>
    <sheetView workbookViewId="0" showGridLines="0" defaultGridColor="1"/>
  </sheetViews>
  <sheetFormatPr defaultColWidth="8.83333" defaultRowHeight="15" customHeight="1" outlineLevelRow="0" outlineLevelCol="0"/>
  <cols>
    <col min="1" max="3" width="12" style="26" customWidth="1"/>
    <col min="4" max="4" width="24" style="26" customWidth="1"/>
    <col min="5" max="5" width="18" style="26" customWidth="1"/>
    <col min="6" max="6" width="34" style="26" customWidth="1"/>
    <col min="7" max="7" width="12" style="26" customWidth="1"/>
    <col min="8" max="9" width="42" style="26" customWidth="1"/>
    <col min="10" max="10" width="12" style="26" customWidth="1"/>
    <col min="11" max="11" width="14" style="26" customWidth="1"/>
    <col min="12" max="12" width="26" style="26" customWidth="1"/>
    <col min="13" max="16" width="16" style="26" customWidth="1"/>
    <col min="17" max="17" width="30" style="26" customWidth="1"/>
    <col min="18" max="18" width="8.85156" style="26" customWidth="1"/>
    <col min="19" max="16384" width="8.85156" style="26" customWidth="1"/>
  </cols>
  <sheetData>
    <row r="1" ht="38" customHeight="1">
      <c r="A1" t="s" s="27">
        <v>52</v>
      </c>
      <c r="B1" t="s" s="28">
        <v>53</v>
      </c>
      <c r="C1" t="s" s="28">
        <v>54</v>
      </c>
      <c r="D1" t="s" s="28">
        <v>55</v>
      </c>
      <c r="E1" t="s" s="28">
        <v>56</v>
      </c>
      <c r="F1" t="s" s="28">
        <v>57</v>
      </c>
      <c r="G1" t="s" s="28">
        <v>58</v>
      </c>
      <c r="H1" t="s" s="28">
        <v>59</v>
      </c>
      <c r="I1" t="s" s="28">
        <v>60</v>
      </c>
      <c r="J1" t="s" s="28">
        <v>61</v>
      </c>
      <c r="K1" t="s" s="28">
        <v>62</v>
      </c>
      <c r="L1" t="s" s="28">
        <v>63</v>
      </c>
      <c r="M1" t="s" s="28">
        <v>64</v>
      </c>
      <c r="N1" t="s" s="28">
        <v>65</v>
      </c>
      <c r="O1" t="s" s="28">
        <v>66</v>
      </c>
      <c r="P1" t="s" s="28">
        <v>67</v>
      </c>
      <c r="Q1" t="s" s="29">
        <v>68</v>
      </c>
      <c r="R1" s="30"/>
    </row>
    <row r="2" ht="64" customHeight="1">
      <c r="A2" t="s" s="31">
        <v>69</v>
      </c>
      <c r="B2" t="s" s="32">
        <v>70</v>
      </c>
      <c r="C2" t="s" s="32">
        <v>71</v>
      </c>
      <c r="D2" t="s" s="32">
        <v>72</v>
      </c>
      <c r="E2" t="s" s="32">
        <v>73</v>
      </c>
      <c r="F2" t="s" s="32">
        <v>74</v>
      </c>
      <c r="G2" t="s" s="32">
        <v>75</v>
      </c>
      <c r="H2" t="s" s="32">
        <v>76</v>
      </c>
      <c r="I2" t="s" s="32">
        <v>77</v>
      </c>
      <c r="J2" t="s" s="32">
        <v>78</v>
      </c>
      <c r="K2" s="33"/>
      <c r="L2" s="33"/>
      <c r="M2" t="s" s="32">
        <v>79</v>
      </c>
      <c r="N2" s="34">
        <v>46250</v>
      </c>
      <c r="O2" t="s" s="32">
        <v>80</v>
      </c>
      <c r="P2" s="33"/>
      <c r="Q2" s="35"/>
      <c r="R2" s="36"/>
    </row>
    <row r="3" ht="64" customHeight="1">
      <c r="A3" t="s" s="37">
        <v>81</v>
      </c>
      <c r="B3" t="s" s="38">
        <v>82</v>
      </c>
      <c r="C3" t="s" s="38">
        <v>83</v>
      </c>
      <c r="D3" t="s" s="38">
        <v>84</v>
      </c>
      <c r="E3" t="s" s="38">
        <v>73</v>
      </c>
      <c r="F3" t="s" s="38">
        <v>85</v>
      </c>
      <c r="G3" t="s" s="38">
        <v>75</v>
      </c>
      <c r="H3" t="s" s="38">
        <v>86</v>
      </c>
      <c r="I3" t="s" s="38">
        <v>87</v>
      </c>
      <c r="J3" t="s" s="38">
        <v>78</v>
      </c>
      <c r="K3" s="39"/>
      <c r="L3" s="40"/>
      <c r="M3" t="s" s="32">
        <v>79</v>
      </c>
      <c r="N3" s="34">
        <v>46250</v>
      </c>
      <c r="O3" t="s" s="41">
        <v>80</v>
      </c>
      <c r="P3" s="39"/>
      <c r="Q3" s="42"/>
      <c r="R3" s="36"/>
    </row>
    <row r="4" ht="64" customHeight="1">
      <c r="A4" t="s" s="31">
        <v>88</v>
      </c>
      <c r="B4" t="s" s="32">
        <v>89</v>
      </c>
      <c r="C4" t="s" s="32">
        <v>90</v>
      </c>
      <c r="D4" t="s" s="32">
        <v>84</v>
      </c>
      <c r="E4" t="s" s="32">
        <v>73</v>
      </c>
      <c r="F4" t="s" s="32">
        <v>91</v>
      </c>
      <c r="G4" t="s" s="32">
        <v>75</v>
      </c>
      <c r="H4" t="s" s="32">
        <v>92</v>
      </c>
      <c r="I4" t="s" s="32">
        <v>93</v>
      </c>
      <c r="J4" t="s" s="32">
        <v>78</v>
      </c>
      <c r="K4" s="33"/>
      <c r="L4" s="33"/>
      <c r="M4" t="s" s="32">
        <v>79</v>
      </c>
      <c r="N4" s="34">
        <v>46250</v>
      </c>
      <c r="O4" t="s" s="32">
        <v>80</v>
      </c>
      <c r="P4" s="33"/>
      <c r="Q4" s="35"/>
      <c r="R4" s="36"/>
    </row>
    <row r="5" ht="64" customHeight="1">
      <c r="A5" t="s" s="37">
        <v>94</v>
      </c>
      <c r="B5" t="s" s="38">
        <v>95</v>
      </c>
      <c r="C5" t="s" s="38">
        <v>90</v>
      </c>
      <c r="D5" t="s" s="38">
        <v>84</v>
      </c>
      <c r="E5" t="s" s="38">
        <v>73</v>
      </c>
      <c r="F5" t="s" s="38">
        <v>96</v>
      </c>
      <c r="G5" t="s" s="38">
        <v>75</v>
      </c>
      <c r="H5" t="s" s="38">
        <v>97</v>
      </c>
      <c r="I5" t="s" s="38">
        <v>98</v>
      </c>
      <c r="J5" t="s" s="38">
        <v>78</v>
      </c>
      <c r="K5" s="39"/>
      <c r="L5" s="40"/>
      <c r="M5" t="s" s="32">
        <v>79</v>
      </c>
      <c r="N5" s="34">
        <v>46250</v>
      </c>
      <c r="O5" t="s" s="41">
        <v>80</v>
      </c>
      <c r="P5" s="39"/>
      <c r="Q5" s="42"/>
      <c r="R5" s="36"/>
    </row>
    <row r="6" ht="64" customHeight="1">
      <c r="A6" t="s" s="31">
        <v>99</v>
      </c>
      <c r="B6" t="s" s="32">
        <v>100</v>
      </c>
      <c r="C6" t="s" s="32">
        <v>90</v>
      </c>
      <c r="D6" t="s" s="32">
        <v>84</v>
      </c>
      <c r="E6" t="s" s="32">
        <v>73</v>
      </c>
      <c r="F6" t="s" s="32">
        <v>101</v>
      </c>
      <c r="G6" t="s" s="32">
        <v>75</v>
      </c>
      <c r="H6" t="s" s="32">
        <v>102</v>
      </c>
      <c r="I6" t="s" s="32">
        <v>103</v>
      </c>
      <c r="J6" t="s" s="32">
        <v>78</v>
      </c>
      <c r="K6" s="33"/>
      <c r="L6" s="33"/>
      <c r="M6" t="s" s="32">
        <v>79</v>
      </c>
      <c r="N6" s="34">
        <v>46250</v>
      </c>
      <c r="O6" t="s" s="32">
        <v>80</v>
      </c>
      <c r="P6" s="33"/>
      <c r="Q6" s="35"/>
      <c r="R6" s="36"/>
    </row>
    <row r="7" ht="64" customHeight="1">
      <c r="A7" t="s" s="37">
        <v>104</v>
      </c>
      <c r="B7" t="s" s="38">
        <v>105</v>
      </c>
      <c r="C7" t="s" s="38">
        <v>106</v>
      </c>
      <c r="D7" t="s" s="38">
        <v>107</v>
      </c>
      <c r="E7" t="s" s="38">
        <v>73</v>
      </c>
      <c r="F7" t="s" s="38">
        <v>108</v>
      </c>
      <c r="G7" t="s" s="38">
        <v>75</v>
      </c>
      <c r="H7" t="s" s="38">
        <v>109</v>
      </c>
      <c r="I7" t="s" s="38">
        <v>110</v>
      </c>
      <c r="J7" t="s" s="38">
        <v>78</v>
      </c>
      <c r="K7" s="39"/>
      <c r="L7" s="40"/>
      <c r="M7" t="s" s="32">
        <v>79</v>
      </c>
      <c r="N7" s="34">
        <v>46250</v>
      </c>
      <c r="O7" t="s" s="41">
        <v>80</v>
      </c>
      <c r="P7" s="39"/>
      <c r="Q7" s="42"/>
      <c r="R7" s="36"/>
    </row>
    <row r="8" ht="64" customHeight="1">
      <c r="A8" t="s" s="31">
        <v>111</v>
      </c>
      <c r="B8" t="s" s="32">
        <v>112</v>
      </c>
      <c r="C8" t="s" s="32">
        <v>113</v>
      </c>
      <c r="D8" t="s" s="32">
        <v>114</v>
      </c>
      <c r="E8" t="s" s="32">
        <v>115</v>
      </c>
      <c r="F8" t="s" s="32">
        <v>116</v>
      </c>
      <c r="G8" t="s" s="32">
        <v>75</v>
      </c>
      <c r="H8" t="s" s="32">
        <v>117</v>
      </c>
      <c r="I8" t="s" s="32">
        <v>118</v>
      </c>
      <c r="J8" t="s" s="32">
        <v>78</v>
      </c>
      <c r="K8" s="33"/>
      <c r="L8" s="33"/>
      <c r="M8" t="s" s="32">
        <v>79</v>
      </c>
      <c r="N8" s="34">
        <v>46250</v>
      </c>
      <c r="O8" t="s" s="32">
        <v>80</v>
      </c>
      <c r="P8" s="33"/>
      <c r="Q8" s="35"/>
      <c r="R8" s="36"/>
    </row>
    <row r="9" ht="64" customHeight="1">
      <c r="A9" t="s" s="37">
        <v>119</v>
      </c>
      <c r="B9" t="s" s="38">
        <v>120</v>
      </c>
      <c r="C9" t="s" s="38">
        <v>113</v>
      </c>
      <c r="D9" t="s" s="38">
        <v>121</v>
      </c>
      <c r="E9" t="s" s="38">
        <v>115</v>
      </c>
      <c r="F9" t="s" s="38">
        <v>122</v>
      </c>
      <c r="G9" t="s" s="38">
        <v>123</v>
      </c>
      <c r="H9" t="s" s="38">
        <v>124</v>
      </c>
      <c r="I9" t="s" s="38">
        <v>124</v>
      </c>
      <c r="J9" t="s" s="38">
        <v>78</v>
      </c>
      <c r="K9" s="39"/>
      <c r="L9" s="40"/>
      <c r="M9" t="s" s="32">
        <v>79</v>
      </c>
      <c r="N9" s="34">
        <v>46250</v>
      </c>
      <c r="O9" t="s" s="41">
        <v>80</v>
      </c>
      <c r="P9" s="39"/>
      <c r="Q9" s="42"/>
      <c r="R9" s="36"/>
    </row>
    <row r="10" ht="64" customHeight="1">
      <c r="A10" t="s" s="31">
        <v>125</v>
      </c>
      <c r="B10" t="s" s="32">
        <v>126</v>
      </c>
      <c r="C10" t="s" s="32">
        <v>127</v>
      </c>
      <c r="D10" t="s" s="32">
        <v>128</v>
      </c>
      <c r="E10" t="s" s="32">
        <v>115</v>
      </c>
      <c r="F10" t="s" s="32">
        <v>129</v>
      </c>
      <c r="G10" t="s" s="32">
        <v>123</v>
      </c>
      <c r="H10" t="s" s="32">
        <v>130</v>
      </c>
      <c r="I10" t="s" s="32">
        <v>130</v>
      </c>
      <c r="J10" t="s" s="32">
        <v>78</v>
      </c>
      <c r="K10" s="33"/>
      <c r="L10" s="33"/>
      <c r="M10" s="33"/>
      <c r="N10" s="33"/>
      <c r="O10" t="s" s="32">
        <v>80</v>
      </c>
      <c r="P10" s="33"/>
      <c r="Q10" s="35"/>
      <c r="R10" s="36"/>
    </row>
    <row r="11" ht="64" customHeight="1">
      <c r="A11" t="s" s="37">
        <v>131</v>
      </c>
      <c r="B11" t="s" s="38">
        <v>132</v>
      </c>
      <c r="C11" t="s" s="38">
        <v>127</v>
      </c>
      <c r="D11" t="s" s="38">
        <v>128</v>
      </c>
      <c r="E11" t="s" s="38">
        <v>115</v>
      </c>
      <c r="F11" t="s" s="38">
        <v>133</v>
      </c>
      <c r="G11" t="s" s="38">
        <v>123</v>
      </c>
      <c r="H11" t="s" s="38">
        <v>134</v>
      </c>
      <c r="I11" t="s" s="38">
        <v>134</v>
      </c>
      <c r="J11" t="s" s="38">
        <v>78</v>
      </c>
      <c r="K11" s="39"/>
      <c r="L11" s="39"/>
      <c r="M11" s="39"/>
      <c r="N11" s="39"/>
      <c r="O11" t="s" s="38">
        <v>80</v>
      </c>
      <c r="P11" s="39"/>
      <c r="Q11" s="42"/>
      <c r="R11" s="36"/>
    </row>
    <row r="12" ht="64" customHeight="1">
      <c r="A12" t="s" s="31">
        <v>135</v>
      </c>
      <c r="B12" t="s" s="32">
        <v>136</v>
      </c>
      <c r="C12" t="s" s="32">
        <v>127</v>
      </c>
      <c r="D12" t="s" s="32">
        <v>128</v>
      </c>
      <c r="E12" t="s" s="32">
        <v>115</v>
      </c>
      <c r="F12" t="s" s="32">
        <v>137</v>
      </c>
      <c r="G12" t="s" s="32">
        <v>123</v>
      </c>
      <c r="H12" t="s" s="32">
        <v>138</v>
      </c>
      <c r="I12" t="s" s="32">
        <v>138</v>
      </c>
      <c r="J12" t="s" s="32">
        <v>78</v>
      </c>
      <c r="K12" s="33"/>
      <c r="L12" s="33"/>
      <c r="M12" s="33"/>
      <c r="N12" s="33"/>
      <c r="O12" t="s" s="32">
        <v>80</v>
      </c>
      <c r="P12" s="33"/>
      <c r="Q12" s="35"/>
      <c r="R12" s="36"/>
    </row>
    <row r="13" ht="64" customHeight="1">
      <c r="A13" t="s" s="37">
        <v>139</v>
      </c>
      <c r="B13" t="s" s="38">
        <v>140</v>
      </c>
      <c r="C13" t="s" s="38">
        <v>127</v>
      </c>
      <c r="D13" t="s" s="38">
        <v>128</v>
      </c>
      <c r="E13" t="s" s="38">
        <v>115</v>
      </c>
      <c r="F13" t="s" s="38">
        <v>141</v>
      </c>
      <c r="G13" t="s" s="38">
        <v>123</v>
      </c>
      <c r="H13" t="s" s="38">
        <v>142</v>
      </c>
      <c r="I13" t="s" s="38">
        <v>142</v>
      </c>
      <c r="J13" t="s" s="38">
        <v>78</v>
      </c>
      <c r="K13" s="39"/>
      <c r="L13" s="39"/>
      <c r="M13" s="39"/>
      <c r="N13" s="39"/>
      <c r="O13" t="s" s="38">
        <v>80</v>
      </c>
      <c r="P13" s="39"/>
      <c r="Q13" s="42"/>
      <c r="R13" s="36"/>
    </row>
    <row r="14" ht="64" customHeight="1">
      <c r="A14" t="s" s="31">
        <v>143</v>
      </c>
      <c r="B14" t="s" s="32">
        <v>144</v>
      </c>
      <c r="C14" t="s" s="32">
        <v>145</v>
      </c>
      <c r="D14" t="s" s="32">
        <v>146</v>
      </c>
      <c r="E14" t="s" s="32">
        <v>147</v>
      </c>
      <c r="F14" t="s" s="32">
        <v>148</v>
      </c>
      <c r="G14" t="s" s="32">
        <v>149</v>
      </c>
      <c r="H14" t="s" s="32">
        <v>150</v>
      </c>
      <c r="I14" t="s" s="32">
        <v>150</v>
      </c>
      <c r="J14" t="s" s="32">
        <v>78</v>
      </c>
      <c r="K14" s="33"/>
      <c r="L14" s="33"/>
      <c r="M14" s="33"/>
      <c r="N14" s="33"/>
      <c r="O14" t="s" s="32">
        <v>80</v>
      </c>
      <c r="P14" s="33"/>
      <c r="Q14" s="35"/>
      <c r="R14" s="36"/>
    </row>
    <row r="15" ht="64" customHeight="1">
      <c r="A15" t="s" s="37">
        <v>151</v>
      </c>
      <c r="B15" t="s" s="38">
        <v>152</v>
      </c>
      <c r="C15" t="s" s="38">
        <v>145</v>
      </c>
      <c r="D15" t="s" s="38">
        <v>146</v>
      </c>
      <c r="E15" t="s" s="38">
        <v>147</v>
      </c>
      <c r="F15" t="s" s="38">
        <v>153</v>
      </c>
      <c r="G15" t="s" s="38">
        <v>149</v>
      </c>
      <c r="H15" t="s" s="38">
        <v>154</v>
      </c>
      <c r="I15" t="s" s="38">
        <v>154</v>
      </c>
      <c r="J15" t="s" s="38">
        <v>78</v>
      </c>
      <c r="K15" s="39"/>
      <c r="L15" s="39"/>
      <c r="M15" s="39"/>
      <c r="N15" s="39"/>
      <c r="O15" t="s" s="38">
        <v>80</v>
      </c>
      <c r="P15" s="39"/>
      <c r="Q15" s="42"/>
      <c r="R15" s="36"/>
    </row>
    <row r="16" ht="64" customHeight="1">
      <c r="A16" t="s" s="31">
        <v>155</v>
      </c>
      <c r="B16" t="s" s="32">
        <v>156</v>
      </c>
      <c r="C16" t="s" s="32">
        <v>157</v>
      </c>
      <c r="D16" t="s" s="32">
        <v>158</v>
      </c>
      <c r="E16" t="s" s="32">
        <v>159</v>
      </c>
      <c r="F16" t="s" s="32">
        <v>160</v>
      </c>
      <c r="G16" t="s" s="32">
        <v>75</v>
      </c>
      <c r="H16" t="s" s="32">
        <v>161</v>
      </c>
      <c r="I16" t="s" s="32">
        <v>161</v>
      </c>
      <c r="J16" t="s" s="32">
        <v>78</v>
      </c>
      <c r="K16" s="33"/>
      <c r="L16" s="33"/>
      <c r="M16" s="33"/>
      <c r="N16" s="33"/>
      <c r="O16" t="s" s="32">
        <v>80</v>
      </c>
      <c r="P16" s="33"/>
      <c r="Q16" s="35"/>
      <c r="R16" s="36"/>
    </row>
    <row r="17" ht="64" customHeight="1">
      <c r="A17" t="s" s="37">
        <v>162</v>
      </c>
      <c r="B17" t="s" s="38">
        <v>163</v>
      </c>
      <c r="C17" t="s" s="38">
        <v>157</v>
      </c>
      <c r="D17" t="s" s="38">
        <v>158</v>
      </c>
      <c r="E17" t="s" s="38">
        <v>159</v>
      </c>
      <c r="F17" t="s" s="38">
        <v>164</v>
      </c>
      <c r="G17" t="s" s="38">
        <v>123</v>
      </c>
      <c r="H17" t="s" s="38">
        <v>165</v>
      </c>
      <c r="I17" t="s" s="38">
        <v>165</v>
      </c>
      <c r="J17" t="s" s="38">
        <v>78</v>
      </c>
      <c r="K17" s="39"/>
      <c r="L17" s="39"/>
      <c r="M17" s="39"/>
      <c r="N17" s="39"/>
      <c r="O17" t="s" s="38">
        <v>80</v>
      </c>
      <c r="P17" s="39"/>
      <c r="Q17" s="42"/>
      <c r="R17" s="36"/>
    </row>
    <row r="18" ht="64" customHeight="1">
      <c r="A18" t="s" s="31">
        <v>166</v>
      </c>
      <c r="B18" t="s" s="32">
        <v>167</v>
      </c>
      <c r="C18" t="s" s="32">
        <v>168</v>
      </c>
      <c r="D18" t="s" s="32">
        <v>169</v>
      </c>
      <c r="E18" t="s" s="32">
        <v>159</v>
      </c>
      <c r="F18" t="s" s="32">
        <v>170</v>
      </c>
      <c r="G18" t="s" s="32">
        <v>75</v>
      </c>
      <c r="H18" t="s" s="32">
        <v>171</v>
      </c>
      <c r="I18" t="s" s="32">
        <v>171</v>
      </c>
      <c r="J18" t="s" s="32">
        <v>78</v>
      </c>
      <c r="K18" s="33"/>
      <c r="L18" s="33"/>
      <c r="M18" s="33"/>
      <c r="N18" s="33"/>
      <c r="O18" t="s" s="32">
        <v>80</v>
      </c>
      <c r="P18" s="33"/>
      <c r="Q18" s="35"/>
      <c r="R18" s="36"/>
    </row>
    <row r="19" ht="64" customHeight="1">
      <c r="A19" t="s" s="37">
        <v>172</v>
      </c>
      <c r="B19" t="s" s="38">
        <v>173</v>
      </c>
      <c r="C19" t="s" s="38">
        <v>174</v>
      </c>
      <c r="D19" t="s" s="38">
        <v>175</v>
      </c>
      <c r="E19" t="s" s="38">
        <v>159</v>
      </c>
      <c r="F19" t="s" s="38">
        <v>176</v>
      </c>
      <c r="G19" t="s" s="38">
        <v>123</v>
      </c>
      <c r="H19" t="s" s="38">
        <v>177</v>
      </c>
      <c r="I19" t="s" s="38">
        <v>177</v>
      </c>
      <c r="J19" t="s" s="38">
        <v>78</v>
      </c>
      <c r="K19" s="39"/>
      <c r="L19" s="39"/>
      <c r="M19" s="39"/>
      <c r="N19" s="39"/>
      <c r="O19" t="s" s="38">
        <v>80</v>
      </c>
      <c r="P19" s="39"/>
      <c r="Q19" s="42"/>
      <c r="R19" s="36"/>
    </row>
    <row r="20" ht="64" customHeight="1">
      <c r="A20" t="s" s="31">
        <v>178</v>
      </c>
      <c r="B20" t="s" s="32">
        <v>179</v>
      </c>
      <c r="C20" t="s" s="32">
        <v>180</v>
      </c>
      <c r="D20" t="s" s="32">
        <v>181</v>
      </c>
      <c r="E20" t="s" s="32">
        <v>159</v>
      </c>
      <c r="F20" t="s" s="32">
        <v>182</v>
      </c>
      <c r="G20" t="s" s="32">
        <v>75</v>
      </c>
      <c r="H20" t="s" s="32">
        <v>183</v>
      </c>
      <c r="I20" t="s" s="32">
        <v>183</v>
      </c>
      <c r="J20" t="s" s="32">
        <v>78</v>
      </c>
      <c r="K20" s="33"/>
      <c r="L20" s="33"/>
      <c r="M20" s="33"/>
      <c r="N20" s="33"/>
      <c r="O20" t="s" s="32">
        <v>80</v>
      </c>
      <c r="P20" s="33"/>
      <c r="Q20" s="35"/>
      <c r="R20" s="36"/>
    </row>
    <row r="21" ht="64" customHeight="1">
      <c r="A21" t="s" s="37">
        <v>184</v>
      </c>
      <c r="B21" t="s" s="38">
        <v>185</v>
      </c>
      <c r="C21" t="s" s="38">
        <v>180</v>
      </c>
      <c r="D21" t="s" s="38">
        <v>181</v>
      </c>
      <c r="E21" t="s" s="38">
        <v>159</v>
      </c>
      <c r="F21" t="s" s="38">
        <v>186</v>
      </c>
      <c r="G21" t="s" s="38">
        <v>75</v>
      </c>
      <c r="H21" t="s" s="38">
        <v>187</v>
      </c>
      <c r="I21" t="s" s="38">
        <v>187</v>
      </c>
      <c r="J21" t="s" s="38">
        <v>78</v>
      </c>
      <c r="K21" s="39"/>
      <c r="L21" s="39"/>
      <c r="M21" s="39"/>
      <c r="N21" s="39"/>
      <c r="O21" t="s" s="38">
        <v>80</v>
      </c>
      <c r="P21" s="39"/>
      <c r="Q21" s="42"/>
      <c r="R21" s="36"/>
    </row>
    <row r="22" ht="64" customHeight="1">
      <c r="A22" t="s" s="31">
        <v>188</v>
      </c>
      <c r="B22" t="s" s="32">
        <v>189</v>
      </c>
      <c r="C22" t="s" s="32">
        <v>190</v>
      </c>
      <c r="D22" t="s" s="32">
        <v>191</v>
      </c>
      <c r="E22" t="s" s="32">
        <v>159</v>
      </c>
      <c r="F22" t="s" s="32">
        <v>192</v>
      </c>
      <c r="G22" t="s" s="32">
        <v>75</v>
      </c>
      <c r="H22" t="s" s="32">
        <v>193</v>
      </c>
      <c r="I22" t="s" s="32">
        <v>193</v>
      </c>
      <c r="J22" t="s" s="32">
        <v>78</v>
      </c>
      <c r="K22" s="33"/>
      <c r="L22" s="33"/>
      <c r="M22" s="33"/>
      <c r="N22" s="33"/>
      <c r="O22" t="s" s="32">
        <v>80</v>
      </c>
      <c r="P22" s="33"/>
      <c r="Q22" s="35"/>
      <c r="R22" s="36"/>
    </row>
    <row r="23" ht="64" customHeight="1">
      <c r="A23" t="s" s="37">
        <v>194</v>
      </c>
      <c r="B23" t="s" s="38">
        <v>195</v>
      </c>
      <c r="C23" t="s" s="38">
        <v>196</v>
      </c>
      <c r="D23" t="s" s="38">
        <v>197</v>
      </c>
      <c r="E23" t="s" s="38">
        <v>159</v>
      </c>
      <c r="F23" t="s" s="38">
        <v>198</v>
      </c>
      <c r="G23" t="s" s="38">
        <v>149</v>
      </c>
      <c r="H23" t="s" s="38">
        <v>199</v>
      </c>
      <c r="I23" t="s" s="38">
        <v>199</v>
      </c>
      <c r="J23" t="s" s="38">
        <v>78</v>
      </c>
      <c r="K23" s="39"/>
      <c r="L23" s="39"/>
      <c r="M23" s="39"/>
      <c r="N23" s="39"/>
      <c r="O23" t="s" s="38">
        <v>80</v>
      </c>
      <c r="P23" s="39"/>
      <c r="Q23" s="42"/>
      <c r="R23" s="36"/>
    </row>
    <row r="24" ht="64" customHeight="1">
      <c r="A24" t="s" s="31">
        <v>200</v>
      </c>
      <c r="B24" t="s" s="32">
        <v>201</v>
      </c>
      <c r="C24" t="s" s="32">
        <v>168</v>
      </c>
      <c r="D24" t="s" s="32">
        <v>202</v>
      </c>
      <c r="E24" t="s" s="32">
        <v>159</v>
      </c>
      <c r="F24" t="s" s="32">
        <v>203</v>
      </c>
      <c r="G24" t="s" s="32">
        <v>123</v>
      </c>
      <c r="H24" t="s" s="32">
        <v>204</v>
      </c>
      <c r="I24" t="s" s="32">
        <v>204</v>
      </c>
      <c r="J24" t="s" s="32">
        <v>78</v>
      </c>
      <c r="K24" s="33"/>
      <c r="L24" s="33"/>
      <c r="M24" s="33"/>
      <c r="N24" s="33"/>
      <c r="O24" t="s" s="32">
        <v>80</v>
      </c>
      <c r="P24" s="33"/>
      <c r="Q24" s="35"/>
      <c r="R24" s="36"/>
    </row>
    <row r="25" ht="64" customHeight="1">
      <c r="A25" t="s" s="37">
        <v>205</v>
      </c>
      <c r="B25" t="s" s="38">
        <v>206</v>
      </c>
      <c r="C25" t="s" s="38">
        <v>207</v>
      </c>
      <c r="D25" t="s" s="38">
        <v>208</v>
      </c>
      <c r="E25" t="s" s="38">
        <v>209</v>
      </c>
      <c r="F25" t="s" s="38">
        <v>210</v>
      </c>
      <c r="G25" t="s" s="38">
        <v>75</v>
      </c>
      <c r="H25" t="s" s="38">
        <v>211</v>
      </c>
      <c r="I25" t="s" s="38">
        <v>211</v>
      </c>
      <c r="J25" t="s" s="38">
        <v>78</v>
      </c>
      <c r="K25" s="39"/>
      <c r="L25" s="39"/>
      <c r="M25" s="39"/>
      <c r="N25" s="39"/>
      <c r="O25" t="s" s="38">
        <v>80</v>
      </c>
      <c r="P25" s="39"/>
      <c r="Q25" s="42"/>
      <c r="R25" s="36"/>
    </row>
    <row r="26" ht="64" customHeight="1">
      <c r="A26" t="s" s="31">
        <v>212</v>
      </c>
      <c r="B26" t="s" s="32">
        <v>213</v>
      </c>
      <c r="C26" t="s" s="32">
        <v>214</v>
      </c>
      <c r="D26" t="s" s="32">
        <v>215</v>
      </c>
      <c r="E26" t="s" s="32">
        <v>209</v>
      </c>
      <c r="F26" t="s" s="32">
        <v>216</v>
      </c>
      <c r="G26" t="s" s="32">
        <v>75</v>
      </c>
      <c r="H26" t="s" s="32">
        <v>217</v>
      </c>
      <c r="I26" t="s" s="32">
        <v>217</v>
      </c>
      <c r="J26" t="s" s="32">
        <v>78</v>
      </c>
      <c r="K26" s="33"/>
      <c r="L26" s="33"/>
      <c r="M26" s="33"/>
      <c r="N26" s="33"/>
      <c r="O26" t="s" s="32">
        <v>80</v>
      </c>
      <c r="P26" s="33"/>
      <c r="Q26" s="35"/>
      <c r="R26" s="36"/>
    </row>
    <row r="27" ht="64" customHeight="1">
      <c r="A27" t="s" s="37">
        <v>218</v>
      </c>
      <c r="B27" t="s" s="38">
        <v>219</v>
      </c>
      <c r="C27" t="s" s="38">
        <v>220</v>
      </c>
      <c r="D27" t="s" s="38">
        <v>215</v>
      </c>
      <c r="E27" t="s" s="38">
        <v>209</v>
      </c>
      <c r="F27" t="s" s="38">
        <v>221</v>
      </c>
      <c r="G27" t="s" s="38">
        <v>75</v>
      </c>
      <c r="H27" t="s" s="38">
        <v>222</v>
      </c>
      <c r="I27" t="s" s="38">
        <v>222</v>
      </c>
      <c r="J27" t="s" s="38">
        <v>78</v>
      </c>
      <c r="K27" s="39"/>
      <c r="L27" s="39"/>
      <c r="M27" s="39"/>
      <c r="N27" s="39"/>
      <c r="O27" t="s" s="38">
        <v>80</v>
      </c>
      <c r="P27" s="39"/>
      <c r="Q27" s="42"/>
      <c r="R27" s="36"/>
    </row>
    <row r="28" ht="64" customHeight="1">
      <c r="A28" t="s" s="31">
        <v>223</v>
      </c>
      <c r="B28" t="s" s="32">
        <v>224</v>
      </c>
      <c r="C28" t="s" s="32">
        <v>225</v>
      </c>
      <c r="D28" t="s" s="32">
        <v>215</v>
      </c>
      <c r="E28" t="s" s="32">
        <v>209</v>
      </c>
      <c r="F28" t="s" s="32">
        <v>226</v>
      </c>
      <c r="G28" t="s" s="32">
        <v>75</v>
      </c>
      <c r="H28" t="s" s="32">
        <v>227</v>
      </c>
      <c r="I28" t="s" s="32">
        <v>227</v>
      </c>
      <c r="J28" t="s" s="32">
        <v>78</v>
      </c>
      <c r="K28" s="33"/>
      <c r="L28" s="33"/>
      <c r="M28" s="33"/>
      <c r="N28" s="33"/>
      <c r="O28" t="s" s="32">
        <v>80</v>
      </c>
      <c r="P28" s="33"/>
      <c r="Q28" s="35"/>
      <c r="R28" s="36"/>
    </row>
    <row r="29" ht="64" customHeight="1">
      <c r="A29" t="s" s="37">
        <v>228</v>
      </c>
      <c r="B29" t="s" s="38">
        <v>229</v>
      </c>
      <c r="C29" t="s" s="38">
        <v>230</v>
      </c>
      <c r="D29" t="s" s="38">
        <v>231</v>
      </c>
      <c r="E29" t="s" s="38">
        <v>209</v>
      </c>
      <c r="F29" t="s" s="38">
        <v>232</v>
      </c>
      <c r="G29" t="s" s="38">
        <v>75</v>
      </c>
      <c r="H29" t="s" s="38">
        <v>233</v>
      </c>
      <c r="I29" t="s" s="38">
        <v>233</v>
      </c>
      <c r="J29" t="s" s="38">
        <v>78</v>
      </c>
      <c r="K29" s="39"/>
      <c r="L29" s="39"/>
      <c r="M29" s="39"/>
      <c r="N29" s="39"/>
      <c r="O29" t="s" s="38">
        <v>80</v>
      </c>
      <c r="P29" s="39"/>
      <c r="Q29" s="42"/>
      <c r="R29" s="36"/>
    </row>
    <row r="30" ht="64" customHeight="1">
      <c r="A30" t="s" s="31">
        <v>234</v>
      </c>
      <c r="B30" t="s" s="32">
        <v>235</v>
      </c>
      <c r="C30" t="s" s="32">
        <v>236</v>
      </c>
      <c r="D30" t="s" s="32">
        <v>237</v>
      </c>
      <c r="E30" t="s" s="32">
        <v>209</v>
      </c>
      <c r="F30" t="s" s="32">
        <v>238</v>
      </c>
      <c r="G30" t="s" s="32">
        <v>75</v>
      </c>
      <c r="H30" t="s" s="32">
        <v>239</v>
      </c>
      <c r="I30" t="s" s="32">
        <v>239</v>
      </c>
      <c r="J30" t="s" s="32">
        <v>78</v>
      </c>
      <c r="K30" s="33"/>
      <c r="L30" s="33"/>
      <c r="M30" s="33"/>
      <c r="N30" s="33"/>
      <c r="O30" t="s" s="32">
        <v>80</v>
      </c>
      <c r="P30" s="33"/>
      <c r="Q30" s="35"/>
      <c r="R30" s="36"/>
    </row>
    <row r="31" ht="64" customHeight="1">
      <c r="A31" t="s" s="37">
        <v>240</v>
      </c>
      <c r="B31" t="s" s="38">
        <v>241</v>
      </c>
      <c r="C31" t="s" s="38">
        <v>242</v>
      </c>
      <c r="D31" t="s" s="38">
        <v>243</v>
      </c>
      <c r="E31" t="s" s="38">
        <v>209</v>
      </c>
      <c r="F31" t="s" s="38">
        <v>244</v>
      </c>
      <c r="G31" t="s" s="38">
        <v>75</v>
      </c>
      <c r="H31" t="s" s="38">
        <v>245</v>
      </c>
      <c r="I31" t="s" s="38">
        <v>245</v>
      </c>
      <c r="J31" t="s" s="38">
        <v>78</v>
      </c>
      <c r="K31" s="39"/>
      <c r="L31" s="39"/>
      <c r="M31" s="39"/>
      <c r="N31" s="39"/>
      <c r="O31" t="s" s="38">
        <v>80</v>
      </c>
      <c r="P31" s="39"/>
      <c r="Q31" s="42"/>
      <c r="R31" s="36"/>
    </row>
    <row r="32" ht="64" customHeight="1">
      <c r="A32" t="s" s="31">
        <v>246</v>
      </c>
      <c r="B32" t="s" s="32">
        <v>247</v>
      </c>
      <c r="C32" t="s" s="32">
        <v>242</v>
      </c>
      <c r="D32" t="s" s="32">
        <v>243</v>
      </c>
      <c r="E32" t="s" s="32">
        <v>209</v>
      </c>
      <c r="F32" t="s" s="32">
        <v>248</v>
      </c>
      <c r="G32" t="s" s="32">
        <v>75</v>
      </c>
      <c r="H32" t="s" s="32">
        <v>249</v>
      </c>
      <c r="I32" t="s" s="32">
        <v>249</v>
      </c>
      <c r="J32" t="s" s="32">
        <v>78</v>
      </c>
      <c r="K32" s="33"/>
      <c r="L32" s="33"/>
      <c r="M32" s="33"/>
      <c r="N32" s="33"/>
      <c r="O32" t="s" s="32">
        <v>80</v>
      </c>
      <c r="P32" s="33"/>
      <c r="Q32" s="35"/>
      <c r="R32" s="36"/>
    </row>
    <row r="33" ht="64" customHeight="1">
      <c r="A33" t="s" s="37">
        <v>250</v>
      </c>
      <c r="B33" t="s" s="38">
        <v>251</v>
      </c>
      <c r="C33" t="s" s="38">
        <v>252</v>
      </c>
      <c r="D33" t="s" s="38">
        <v>253</v>
      </c>
      <c r="E33" t="s" s="38">
        <v>254</v>
      </c>
      <c r="F33" t="s" s="38">
        <v>255</v>
      </c>
      <c r="G33" t="s" s="38">
        <v>75</v>
      </c>
      <c r="H33" t="s" s="38">
        <v>256</v>
      </c>
      <c r="I33" t="s" s="38">
        <v>256</v>
      </c>
      <c r="J33" t="s" s="38">
        <v>78</v>
      </c>
      <c r="K33" s="39"/>
      <c r="L33" s="39"/>
      <c r="M33" s="39"/>
      <c r="N33" s="39"/>
      <c r="O33" t="s" s="38">
        <v>80</v>
      </c>
      <c r="P33" s="39"/>
      <c r="Q33" s="42"/>
      <c r="R33" s="36"/>
    </row>
    <row r="34" ht="64" customHeight="1">
      <c r="A34" t="s" s="31">
        <v>257</v>
      </c>
      <c r="B34" t="s" s="32">
        <v>258</v>
      </c>
      <c r="C34" t="s" s="32">
        <v>252</v>
      </c>
      <c r="D34" t="s" s="32">
        <v>253</v>
      </c>
      <c r="E34" t="s" s="32">
        <v>254</v>
      </c>
      <c r="F34" t="s" s="32">
        <v>259</v>
      </c>
      <c r="G34" t="s" s="32">
        <v>75</v>
      </c>
      <c r="H34" t="s" s="32">
        <v>260</v>
      </c>
      <c r="I34" t="s" s="32">
        <v>260</v>
      </c>
      <c r="J34" t="s" s="32">
        <v>78</v>
      </c>
      <c r="K34" s="33"/>
      <c r="L34" s="33"/>
      <c r="M34" s="33"/>
      <c r="N34" s="33"/>
      <c r="O34" t="s" s="32">
        <v>80</v>
      </c>
      <c r="P34" s="33"/>
      <c r="Q34" s="35"/>
      <c r="R34" s="36"/>
    </row>
    <row r="35" ht="64" customHeight="1">
      <c r="A35" t="s" s="37">
        <v>261</v>
      </c>
      <c r="B35" t="s" s="38">
        <v>262</v>
      </c>
      <c r="C35" t="s" s="38">
        <v>252</v>
      </c>
      <c r="D35" t="s" s="38">
        <v>253</v>
      </c>
      <c r="E35" t="s" s="38">
        <v>254</v>
      </c>
      <c r="F35" t="s" s="38">
        <v>263</v>
      </c>
      <c r="G35" t="s" s="38">
        <v>149</v>
      </c>
      <c r="H35" t="s" s="38">
        <v>264</v>
      </c>
      <c r="I35" t="s" s="38">
        <v>264</v>
      </c>
      <c r="J35" t="s" s="38">
        <v>78</v>
      </c>
      <c r="K35" s="39"/>
      <c r="L35" s="39"/>
      <c r="M35" s="39"/>
      <c r="N35" s="39"/>
      <c r="O35" t="s" s="38">
        <v>80</v>
      </c>
      <c r="P35" s="39"/>
      <c r="Q35" s="42"/>
      <c r="R35" s="36"/>
    </row>
    <row r="36" ht="64" customHeight="1">
      <c r="A36" t="s" s="31">
        <v>265</v>
      </c>
      <c r="B36" t="s" s="32">
        <v>266</v>
      </c>
      <c r="C36" t="s" s="32">
        <v>267</v>
      </c>
      <c r="D36" t="s" s="32">
        <v>268</v>
      </c>
      <c r="E36" t="s" s="32">
        <v>269</v>
      </c>
      <c r="F36" t="s" s="32">
        <v>270</v>
      </c>
      <c r="G36" t="s" s="32">
        <v>123</v>
      </c>
      <c r="H36" t="s" s="32">
        <v>271</v>
      </c>
      <c r="I36" t="s" s="32">
        <v>271</v>
      </c>
      <c r="J36" t="s" s="32">
        <v>78</v>
      </c>
      <c r="K36" s="33"/>
      <c r="L36" s="33"/>
      <c r="M36" s="33"/>
      <c r="N36" s="33"/>
      <c r="O36" t="s" s="32">
        <v>80</v>
      </c>
      <c r="P36" s="33"/>
      <c r="Q36" s="35"/>
      <c r="R36" s="36"/>
    </row>
    <row r="37" ht="64" customHeight="1">
      <c r="A37" t="s" s="37">
        <v>272</v>
      </c>
      <c r="B37" t="s" s="38">
        <v>273</v>
      </c>
      <c r="C37" t="s" s="38">
        <v>267</v>
      </c>
      <c r="D37" t="s" s="38">
        <v>268</v>
      </c>
      <c r="E37" t="s" s="38">
        <v>269</v>
      </c>
      <c r="F37" t="s" s="38">
        <v>274</v>
      </c>
      <c r="G37" t="s" s="38">
        <v>123</v>
      </c>
      <c r="H37" t="s" s="38">
        <v>275</v>
      </c>
      <c r="I37" t="s" s="38">
        <v>275</v>
      </c>
      <c r="J37" t="s" s="38">
        <v>78</v>
      </c>
      <c r="K37" s="39"/>
      <c r="L37" s="39"/>
      <c r="M37" s="39"/>
      <c r="N37" s="39"/>
      <c r="O37" t="s" s="38">
        <v>80</v>
      </c>
      <c r="P37" s="39"/>
      <c r="Q37" s="42"/>
      <c r="R37" s="36"/>
    </row>
    <row r="38" ht="64" customHeight="1">
      <c r="A38" t="s" s="31">
        <v>276</v>
      </c>
      <c r="B38" t="s" s="32">
        <v>277</v>
      </c>
      <c r="C38" t="s" s="32">
        <v>267</v>
      </c>
      <c r="D38" t="s" s="32">
        <v>268</v>
      </c>
      <c r="E38" t="s" s="32">
        <v>269</v>
      </c>
      <c r="F38" t="s" s="32">
        <v>278</v>
      </c>
      <c r="G38" t="s" s="32">
        <v>123</v>
      </c>
      <c r="H38" t="s" s="32">
        <v>279</v>
      </c>
      <c r="I38" t="s" s="32">
        <v>279</v>
      </c>
      <c r="J38" t="s" s="32">
        <v>78</v>
      </c>
      <c r="K38" s="33"/>
      <c r="L38" s="33"/>
      <c r="M38" s="33"/>
      <c r="N38" s="33"/>
      <c r="O38" t="s" s="32">
        <v>80</v>
      </c>
      <c r="P38" s="33"/>
      <c r="Q38" s="35"/>
      <c r="R38" s="36"/>
    </row>
    <row r="39" ht="64" customHeight="1">
      <c r="A39" t="s" s="37">
        <v>280</v>
      </c>
      <c r="B39" t="s" s="38">
        <v>281</v>
      </c>
      <c r="C39" t="s" s="38">
        <v>282</v>
      </c>
      <c r="D39" t="s" s="38">
        <v>283</v>
      </c>
      <c r="E39" t="s" s="38">
        <v>284</v>
      </c>
      <c r="F39" t="s" s="38">
        <v>285</v>
      </c>
      <c r="G39" t="s" s="38">
        <v>123</v>
      </c>
      <c r="H39" t="s" s="38">
        <v>286</v>
      </c>
      <c r="I39" t="s" s="38">
        <v>286</v>
      </c>
      <c r="J39" t="s" s="38">
        <v>78</v>
      </c>
      <c r="K39" s="39"/>
      <c r="L39" s="39"/>
      <c r="M39" s="39"/>
      <c r="N39" s="39"/>
      <c r="O39" t="s" s="38">
        <v>80</v>
      </c>
      <c r="P39" s="39"/>
      <c r="Q39" s="42"/>
      <c r="R39" s="36"/>
    </row>
    <row r="40" ht="64" customHeight="1">
      <c r="A40" t="s" s="31">
        <v>287</v>
      </c>
      <c r="B40" t="s" s="32">
        <v>288</v>
      </c>
      <c r="C40" t="s" s="32">
        <v>282</v>
      </c>
      <c r="D40" t="s" s="32">
        <v>289</v>
      </c>
      <c r="E40" t="s" s="32">
        <v>284</v>
      </c>
      <c r="F40" t="s" s="32">
        <v>290</v>
      </c>
      <c r="G40" t="s" s="32">
        <v>123</v>
      </c>
      <c r="H40" t="s" s="32">
        <v>291</v>
      </c>
      <c r="I40" t="s" s="32">
        <v>291</v>
      </c>
      <c r="J40" t="s" s="32">
        <v>78</v>
      </c>
      <c r="K40" s="33"/>
      <c r="L40" s="33"/>
      <c r="M40" s="33"/>
      <c r="N40" s="33"/>
      <c r="O40" t="s" s="32">
        <v>80</v>
      </c>
      <c r="P40" s="33"/>
      <c r="Q40" s="35"/>
      <c r="R40" s="36"/>
    </row>
    <row r="41" ht="64" customHeight="1">
      <c r="A41" t="s" s="37">
        <v>292</v>
      </c>
      <c r="B41" t="s" s="38">
        <v>293</v>
      </c>
      <c r="C41" t="s" s="38">
        <v>294</v>
      </c>
      <c r="D41" t="s" s="38">
        <v>295</v>
      </c>
      <c r="E41" t="s" s="38">
        <v>296</v>
      </c>
      <c r="F41" t="s" s="38">
        <v>297</v>
      </c>
      <c r="G41" t="s" s="38">
        <v>123</v>
      </c>
      <c r="H41" t="s" s="38">
        <v>298</v>
      </c>
      <c r="I41" t="s" s="43">
        <v>299</v>
      </c>
      <c r="J41" t="s" s="38">
        <v>78</v>
      </c>
      <c r="K41" s="39"/>
      <c r="L41" s="39"/>
      <c r="M41" s="39"/>
      <c r="N41" s="39"/>
      <c r="O41" t="s" s="38">
        <v>80</v>
      </c>
      <c r="P41" s="39"/>
      <c r="Q41" s="42"/>
      <c r="R41" s="36"/>
    </row>
    <row r="42" ht="64" customHeight="1">
      <c r="A42" t="s" s="31">
        <v>300</v>
      </c>
      <c r="B42" t="s" s="32">
        <v>301</v>
      </c>
      <c r="C42" t="s" s="32">
        <v>294</v>
      </c>
      <c r="D42" t="s" s="32">
        <v>302</v>
      </c>
      <c r="E42" t="s" s="32">
        <v>296</v>
      </c>
      <c r="F42" t="s" s="32">
        <v>303</v>
      </c>
      <c r="G42" t="s" s="32">
        <v>123</v>
      </c>
      <c r="H42" t="s" s="32">
        <v>304</v>
      </c>
      <c r="I42" t="s" s="32">
        <v>305</v>
      </c>
      <c r="J42" t="s" s="32">
        <v>306</v>
      </c>
      <c r="K42" s="33"/>
      <c r="L42" s="33"/>
      <c r="M42" s="33"/>
      <c r="N42" s="33"/>
      <c r="O42" t="s" s="32">
        <v>80</v>
      </c>
      <c r="P42" s="33"/>
      <c r="Q42" s="35"/>
      <c r="R42" s="36"/>
    </row>
    <row r="43" ht="64" customHeight="1">
      <c r="A43" t="s" s="37">
        <v>307</v>
      </c>
      <c r="B43" t="s" s="38">
        <v>308</v>
      </c>
      <c r="C43" t="s" s="38">
        <v>309</v>
      </c>
      <c r="D43" t="s" s="38">
        <v>310</v>
      </c>
      <c r="E43" t="s" s="38">
        <v>311</v>
      </c>
      <c r="F43" t="s" s="38">
        <v>312</v>
      </c>
      <c r="G43" t="s" s="38">
        <v>75</v>
      </c>
      <c r="H43" t="s" s="38">
        <v>313</v>
      </c>
      <c r="I43" t="s" s="38">
        <v>313</v>
      </c>
      <c r="J43" t="s" s="38">
        <v>78</v>
      </c>
      <c r="K43" s="39"/>
      <c r="L43" s="39"/>
      <c r="M43" s="39"/>
      <c r="N43" s="39"/>
      <c r="O43" t="s" s="38">
        <v>80</v>
      </c>
      <c r="P43" s="39"/>
      <c r="Q43" s="42"/>
      <c r="R43" s="36"/>
    </row>
    <row r="44" ht="13.55" customHeight="1">
      <c r="A44" s="44"/>
      <c r="B44" s="45"/>
      <c r="C44" s="45"/>
      <c r="D44" s="45"/>
      <c r="E44" s="45"/>
      <c r="F44" s="45"/>
      <c r="G44" s="45"/>
      <c r="H44" s="45"/>
      <c r="I44" s="45"/>
      <c r="J44" s="45"/>
      <c r="K44" s="45"/>
      <c r="L44" s="45"/>
      <c r="M44" s="45"/>
      <c r="N44" s="45"/>
      <c r="O44" s="45"/>
      <c r="P44" s="45"/>
      <c r="Q44" s="45"/>
      <c r="R44" s="46"/>
    </row>
  </sheetData>
  <dataValidations count="3">
    <dataValidation type="list" allowBlank="1" showInputMessage="1" showErrorMessage="1" sqref="G2:G43">
      <formula1>"Critical,High,Medium,Low"</formula1>
    </dataValidation>
    <dataValidation type="list" allowBlank="1" showInputMessage="1" showErrorMessage="1" sqref="J2:J43">
      <formula1>"Not Run,Pass,Fail,Blocked,N/A"</formula1>
    </dataValidation>
    <dataValidation type="list" allowBlank="1" showInputMessage="1" showErrorMessage="1" sqref="O2:O43">
      <formula1>"Not Required,Pending Retest,Pass,Fail,Blocked"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19"/>
  <sheetViews>
    <sheetView workbookViewId="0" showGridLines="0" defaultGridColor="1"/>
  </sheetViews>
  <sheetFormatPr defaultColWidth="8.83333" defaultRowHeight="15" customHeight="1" outlineLevelRow="0" outlineLevelCol="0"/>
  <cols>
    <col min="1" max="1" width="24" style="47" customWidth="1"/>
    <col min="2" max="2" width="16" style="47" customWidth="1"/>
    <col min="3" max="3" width="8.85156" style="47" customWidth="1"/>
    <col min="4" max="4" width="22" style="47" customWidth="1"/>
    <col min="5" max="7" width="14" style="47" customWidth="1"/>
    <col min="8" max="18" width="8.85156" style="47" customWidth="1"/>
    <col min="19" max="16384" width="8.85156" style="47" customWidth="1"/>
  </cols>
  <sheetData>
    <row r="1" ht="22" customHeight="1">
      <c r="A1" t="s" s="48">
        <v>315</v>
      </c>
      <c r="B1" s="8"/>
      <c r="C1" s="9"/>
      <c r="D1" s="9"/>
      <c r="E1" s="9"/>
      <c r="F1" s="9"/>
      <c r="G1" s="9"/>
      <c r="H1" s="9"/>
      <c r="I1" s="9"/>
      <c r="J1" s="9"/>
      <c r="K1" s="9"/>
      <c r="L1" s="9"/>
      <c r="M1" s="9"/>
      <c r="N1" s="9"/>
      <c r="O1" s="9"/>
      <c r="P1" s="9"/>
      <c r="Q1" s="9"/>
      <c r="R1" s="9"/>
    </row>
    <row r="2" ht="13.55" customHeight="1">
      <c r="A2" s="12"/>
      <c r="B2" s="16"/>
      <c r="C2" s="9"/>
      <c r="D2" s="16"/>
      <c r="E2" s="16"/>
      <c r="F2" s="16"/>
      <c r="G2" s="16"/>
      <c r="H2" s="9"/>
      <c r="I2" s="9"/>
      <c r="J2" s="9"/>
      <c r="K2" s="9"/>
      <c r="L2" s="9"/>
      <c r="M2" s="9"/>
      <c r="N2" s="9"/>
      <c r="O2" s="9"/>
      <c r="P2" s="9"/>
      <c r="Q2" s="9"/>
      <c r="R2" s="9"/>
    </row>
    <row r="3" ht="13.55" customHeight="1">
      <c r="A3" t="s" s="17">
        <v>316</v>
      </c>
      <c r="B3" t="s" s="49">
        <v>317</v>
      </c>
      <c r="C3" s="50"/>
      <c r="D3" t="s" s="49">
        <v>56</v>
      </c>
      <c r="E3" t="s" s="49">
        <v>318</v>
      </c>
      <c r="F3" t="s" s="49">
        <v>78</v>
      </c>
      <c r="G3" t="s" s="49">
        <v>306</v>
      </c>
      <c r="H3" s="8"/>
      <c r="I3" s="9"/>
      <c r="J3" s="9"/>
      <c r="K3" s="9"/>
      <c r="L3" s="9"/>
      <c r="M3" s="9"/>
      <c r="N3" s="9"/>
      <c r="O3" s="9"/>
      <c r="P3" s="9"/>
      <c r="Q3" s="9"/>
      <c r="R3" s="9"/>
    </row>
    <row r="4" ht="13.55" customHeight="1">
      <c r="A4" t="s" s="51">
        <v>319</v>
      </c>
      <c r="B4" s="52">
        <v>42</v>
      </c>
      <c r="C4" s="9"/>
      <c r="D4" t="s" s="51">
        <v>73</v>
      </c>
      <c r="E4" s="52">
        <f>COUNTIF('Execution Log'!E2:E43,D4)</f>
        <v>6</v>
      </c>
      <c r="F4" s="52">
        <f>_xlfn.COUNTIFS('Execution Log'!E2:E43,D4,'Execution Log'!J2:J43,"Pass")</f>
        <v>6</v>
      </c>
      <c r="G4" s="52">
        <f>_xlfn.COUNTIFS('Execution Log'!E2:E43,D4,'Execution Log'!J2:J43,"Fail")</f>
        <v>0</v>
      </c>
      <c r="H4" s="9"/>
      <c r="I4" s="9"/>
      <c r="J4" s="9"/>
      <c r="K4" s="9"/>
      <c r="L4" s="9"/>
      <c r="M4" s="9"/>
      <c r="N4" s="9"/>
      <c r="O4" s="9"/>
      <c r="P4" s="9"/>
      <c r="Q4" s="9"/>
      <c r="R4" s="9"/>
    </row>
    <row r="5" ht="13.55" customHeight="1">
      <c r="A5" t="s" s="53">
        <v>320</v>
      </c>
      <c r="B5" s="54">
        <f>COUNTIF('Execution Log'!J2:J43,"&lt;&gt;Not Run")-COUNTIF('Execution Log'!J2:J43,"N/A")</f>
        <v>42</v>
      </c>
      <c r="C5" s="9"/>
      <c r="D5" t="s" s="53">
        <v>115</v>
      </c>
      <c r="E5" s="54">
        <f>COUNTIF('Execution Log'!E2:E43,D5)</f>
        <v>6</v>
      </c>
      <c r="F5" s="54">
        <f>_xlfn.COUNTIFS('Execution Log'!E2:E43,D5,'Execution Log'!J2:J43,"Pass")</f>
        <v>6</v>
      </c>
      <c r="G5" s="54">
        <f>_xlfn.COUNTIFS('Execution Log'!E2:E43,D5,'Execution Log'!J2:J43,"Fail")</f>
        <v>0</v>
      </c>
      <c r="H5" s="9"/>
      <c r="I5" s="9"/>
      <c r="J5" s="9"/>
      <c r="K5" s="9"/>
      <c r="L5" s="9"/>
      <c r="M5" s="9"/>
      <c r="N5" s="9"/>
      <c r="O5" s="9"/>
      <c r="P5" s="9"/>
      <c r="Q5" s="9"/>
      <c r="R5" s="9"/>
    </row>
    <row r="6" ht="13.55" customHeight="1">
      <c r="A6" t="s" s="53">
        <v>78</v>
      </c>
      <c r="B6" s="54">
        <f>COUNTIF('Execution Log'!J2:J43,"Pass")</f>
        <v>41</v>
      </c>
      <c r="C6" s="9"/>
      <c r="D6" t="s" s="53">
        <v>147</v>
      </c>
      <c r="E6" s="54">
        <f>COUNTIF('Execution Log'!E2:E43,D6)</f>
        <v>2</v>
      </c>
      <c r="F6" s="54">
        <f>_xlfn.COUNTIFS('Execution Log'!E2:E43,D6,'Execution Log'!J2:J43,"Pass")</f>
        <v>2</v>
      </c>
      <c r="G6" s="54">
        <f>_xlfn.COUNTIFS('Execution Log'!E2:E43,D6,'Execution Log'!J2:J43,"Fail")</f>
        <v>0</v>
      </c>
      <c r="H6" s="9"/>
      <c r="I6" s="9"/>
      <c r="J6" s="9"/>
      <c r="K6" s="9"/>
      <c r="L6" s="9"/>
      <c r="M6" s="9"/>
      <c r="N6" s="9"/>
      <c r="O6" s="9"/>
      <c r="P6" s="9"/>
      <c r="Q6" s="9"/>
      <c r="R6" s="9"/>
    </row>
    <row r="7" ht="13.55" customHeight="1">
      <c r="A7" t="s" s="53">
        <v>306</v>
      </c>
      <c r="B7" s="54">
        <f>COUNTIF('Execution Log'!J2:J43,"Fail")</f>
        <v>1</v>
      </c>
      <c r="C7" s="9"/>
      <c r="D7" t="s" s="53">
        <v>159</v>
      </c>
      <c r="E7" s="54">
        <f>COUNTIF('Execution Log'!E2:E43,D7)</f>
        <v>9</v>
      </c>
      <c r="F7" s="54">
        <f>_xlfn.COUNTIFS('Execution Log'!E2:E43,D7,'Execution Log'!J2:J43,"Pass")</f>
        <v>9</v>
      </c>
      <c r="G7" s="54">
        <f>_xlfn.COUNTIFS('Execution Log'!E2:E43,D7,'Execution Log'!J2:J43,"Fail")</f>
        <v>0</v>
      </c>
      <c r="H7" s="9"/>
      <c r="I7" s="9"/>
      <c r="J7" s="9"/>
      <c r="K7" s="9"/>
      <c r="L7" s="9"/>
      <c r="M7" s="9"/>
      <c r="N7" s="9"/>
      <c r="O7" s="9"/>
      <c r="P7" s="9"/>
      <c r="Q7" s="9"/>
      <c r="R7" s="9"/>
    </row>
    <row r="8" ht="13.55" customHeight="1">
      <c r="A8" t="s" s="53">
        <v>321</v>
      </c>
      <c r="B8" s="54">
        <f>COUNTIF('Execution Log'!J2:J43,"Blocked")</f>
        <v>0</v>
      </c>
      <c r="C8" s="9"/>
      <c r="D8" t="s" s="53">
        <v>209</v>
      </c>
      <c r="E8" s="54">
        <f>COUNTIF('Execution Log'!E2:E43,D8)</f>
        <v>8</v>
      </c>
      <c r="F8" s="54">
        <f>_xlfn.COUNTIFS('Execution Log'!E2:E43,D8,'Execution Log'!J2:J43,"Pass")</f>
        <v>8</v>
      </c>
      <c r="G8" s="54">
        <f>_xlfn.COUNTIFS('Execution Log'!E2:E43,D8,'Execution Log'!J2:J43,"Fail")</f>
        <v>0</v>
      </c>
      <c r="H8" s="9"/>
      <c r="I8" s="9"/>
      <c r="J8" s="9"/>
      <c r="K8" s="9"/>
      <c r="L8" s="9"/>
      <c r="M8" s="9"/>
      <c r="N8" s="9"/>
      <c r="O8" s="9"/>
      <c r="P8" s="9"/>
      <c r="Q8" s="9"/>
      <c r="R8" s="9"/>
    </row>
    <row r="9" ht="13.55" customHeight="1">
      <c r="A9" t="s" s="53">
        <v>322</v>
      </c>
      <c r="B9" s="54">
        <f>COUNTIF('Execution Log'!J2:J43,"Not Run")</f>
        <v>0</v>
      </c>
      <c r="C9" s="9"/>
      <c r="D9" t="s" s="53">
        <v>254</v>
      </c>
      <c r="E9" s="54">
        <f>COUNTIF('Execution Log'!E2:E43,D9)</f>
        <v>3</v>
      </c>
      <c r="F9" s="54">
        <f>_xlfn.COUNTIFS('Execution Log'!E2:E43,D9,'Execution Log'!J2:J43,"Pass")</f>
        <v>3</v>
      </c>
      <c r="G9" s="54">
        <f>_xlfn.COUNTIFS('Execution Log'!E2:E43,D9,'Execution Log'!J2:J43,"Fail")</f>
        <v>0</v>
      </c>
      <c r="H9" s="9"/>
      <c r="I9" s="9"/>
      <c r="J9" s="9"/>
      <c r="K9" s="9"/>
      <c r="L9" s="9"/>
      <c r="M9" s="9"/>
      <c r="N9" s="9"/>
      <c r="O9" s="9"/>
      <c r="P9" s="9"/>
      <c r="Q9" s="9"/>
      <c r="R9" s="9"/>
    </row>
    <row r="10" ht="13.55" customHeight="1">
      <c r="A10" t="s" s="53">
        <v>323</v>
      </c>
      <c r="B10" s="55">
        <f>IF(B4=0,0,B5/B4)</f>
        <v>1</v>
      </c>
      <c r="C10" s="9"/>
      <c r="D10" t="s" s="53">
        <v>269</v>
      </c>
      <c r="E10" s="54">
        <f>COUNTIF('Execution Log'!E2:E43,D10)</f>
        <v>3</v>
      </c>
      <c r="F10" s="54">
        <f>_xlfn.COUNTIFS('Execution Log'!E2:E43,D10,'Execution Log'!J2:J43,"Pass")</f>
        <v>3</v>
      </c>
      <c r="G10" s="54">
        <f>_xlfn.COUNTIFS('Execution Log'!E2:E43,D10,'Execution Log'!J2:J43,"Fail")</f>
        <v>0</v>
      </c>
      <c r="H10" s="9"/>
      <c r="I10" s="9"/>
      <c r="J10" s="9"/>
      <c r="K10" s="9"/>
      <c r="L10" s="9"/>
      <c r="M10" s="9"/>
      <c r="N10" s="9"/>
      <c r="O10" s="9"/>
      <c r="P10" s="9"/>
      <c r="Q10" s="9"/>
      <c r="R10" s="9"/>
    </row>
    <row r="11" ht="13.55" customHeight="1">
      <c r="A11" t="s" s="53">
        <v>324</v>
      </c>
      <c r="B11" s="55">
        <f>IF(B5=0,0,B6/B5)</f>
        <v>0.9761904761904761</v>
      </c>
      <c r="C11" s="9"/>
      <c r="D11" t="s" s="53">
        <v>284</v>
      </c>
      <c r="E11" s="54">
        <f>COUNTIF('Execution Log'!E2:E43,D11)</f>
        <v>2</v>
      </c>
      <c r="F11" s="54">
        <f>_xlfn.COUNTIFS('Execution Log'!E2:E43,D11,'Execution Log'!J2:J43,"Pass")</f>
        <v>2</v>
      </c>
      <c r="G11" s="54">
        <f>_xlfn.COUNTIFS('Execution Log'!E2:E43,D11,'Execution Log'!J2:J43,"Fail")</f>
        <v>0</v>
      </c>
      <c r="H11" s="9"/>
      <c r="I11" s="9"/>
      <c r="J11" s="9"/>
      <c r="K11" s="9"/>
      <c r="L11" s="9"/>
      <c r="M11" s="9"/>
      <c r="N11" s="9"/>
      <c r="O11" s="9"/>
      <c r="P11" s="9"/>
      <c r="Q11" s="9"/>
      <c r="R11" s="9"/>
    </row>
    <row r="12" ht="13.55" customHeight="1">
      <c r="A12" s="9"/>
      <c r="B12" s="9"/>
      <c r="C12" s="9"/>
      <c r="D12" t="s" s="53">
        <v>296</v>
      </c>
      <c r="E12" s="54">
        <f>COUNTIF('Execution Log'!E2:E43,D12)</f>
        <v>2</v>
      </c>
      <c r="F12" s="54">
        <f>_xlfn.COUNTIFS('Execution Log'!E2:E43,D12,'Execution Log'!J2:J43,"Pass")</f>
        <v>1</v>
      </c>
      <c r="G12" s="54">
        <f>_xlfn.COUNTIFS('Execution Log'!E2:E43,D12,'Execution Log'!J2:J43,"Fail")</f>
        <v>1</v>
      </c>
      <c r="H12" s="9"/>
      <c r="I12" s="9"/>
      <c r="J12" s="9"/>
      <c r="K12" s="9"/>
      <c r="L12" s="9"/>
      <c r="M12" s="9"/>
      <c r="N12" s="9"/>
      <c r="O12" s="9"/>
      <c r="P12" s="9"/>
      <c r="Q12" s="9"/>
      <c r="R12" s="9"/>
    </row>
    <row r="13" ht="13.55" customHeight="1">
      <c r="A13" s="16"/>
      <c r="B13" s="9"/>
      <c r="C13" s="9"/>
      <c r="D13" t="s" s="53">
        <v>311</v>
      </c>
      <c r="E13" s="54">
        <f>COUNTIF('Execution Log'!E2:E43,D13)</f>
        <v>1</v>
      </c>
      <c r="F13" s="54">
        <f>_xlfn.COUNTIFS('Execution Log'!E2:E43,D13,'Execution Log'!J2:J43,"Pass")</f>
        <v>1</v>
      </c>
      <c r="G13" s="54">
        <f>_xlfn.COUNTIFS('Execution Log'!E2:E43,D13,'Execution Log'!J2:J43,"Fail")</f>
        <v>0</v>
      </c>
      <c r="H13" s="9"/>
      <c r="I13" s="9"/>
      <c r="J13" s="9"/>
      <c r="K13" s="9"/>
      <c r="L13" s="9"/>
      <c r="M13" s="9"/>
      <c r="N13" s="9"/>
      <c r="O13" s="9"/>
      <c r="P13" s="9"/>
      <c r="Q13" s="9"/>
      <c r="R13" s="9"/>
    </row>
    <row r="14" ht="13.55" customHeight="1">
      <c r="A14" t="s" s="56">
        <v>325</v>
      </c>
      <c r="B14" s="8"/>
      <c r="C14" s="9"/>
      <c r="D14" s="9"/>
      <c r="E14" s="9"/>
      <c r="F14" s="9"/>
      <c r="G14" s="9"/>
      <c r="H14" s="9"/>
      <c r="I14" s="9"/>
      <c r="J14" s="9"/>
      <c r="K14" s="9"/>
      <c r="L14" s="9"/>
      <c r="M14" s="9"/>
      <c r="N14" s="9"/>
      <c r="O14" s="9"/>
      <c r="P14" s="9"/>
      <c r="Q14" s="9"/>
      <c r="R14" s="9"/>
    </row>
    <row r="15" ht="13.55" customHeight="1">
      <c r="A15" t="s" s="20">
        <v>326</v>
      </c>
      <c r="B15" s="21"/>
      <c r="C15" s="21"/>
      <c r="D15" s="21"/>
      <c r="E15" s="21"/>
      <c r="F15" s="21"/>
      <c r="G15" s="21"/>
      <c r="H15" s="21"/>
      <c r="I15" s="9"/>
      <c r="J15" s="9"/>
      <c r="K15" s="9"/>
      <c r="L15" s="9"/>
      <c r="M15" s="9"/>
      <c r="N15" s="9"/>
      <c r="O15" s="9"/>
      <c r="P15" s="9"/>
      <c r="Q15" s="9"/>
      <c r="R15" s="9"/>
    </row>
    <row r="16" ht="13.55" customHeight="1">
      <c r="A16" s="21"/>
      <c r="B16" s="21"/>
      <c r="C16" s="21"/>
      <c r="D16" s="21"/>
      <c r="E16" s="21"/>
      <c r="F16" s="21"/>
      <c r="G16" s="21"/>
      <c r="H16" s="21"/>
      <c r="I16" s="9"/>
      <c r="J16" s="9"/>
      <c r="K16" s="9"/>
      <c r="L16" s="9"/>
      <c r="M16" s="9"/>
      <c r="N16" s="9"/>
      <c r="O16" s="9"/>
      <c r="P16" s="9"/>
      <c r="Q16" s="9"/>
      <c r="R16" s="9"/>
    </row>
    <row r="17" ht="13.55" customHeight="1">
      <c r="A17" s="21"/>
      <c r="B17" s="21"/>
      <c r="C17" s="21"/>
      <c r="D17" s="21"/>
      <c r="E17" s="21"/>
      <c r="F17" s="21"/>
      <c r="G17" s="21"/>
      <c r="H17" s="21"/>
      <c r="I17" s="9"/>
      <c r="J17" s="9"/>
      <c r="K17" s="9"/>
      <c r="L17" s="9"/>
      <c r="M17" s="9"/>
      <c r="N17" s="9"/>
      <c r="O17" s="9"/>
      <c r="P17" s="9"/>
      <c r="Q17" s="9"/>
      <c r="R17" s="9"/>
    </row>
    <row r="18" ht="13.55" customHeight="1">
      <c r="A18" s="21"/>
      <c r="B18" s="21"/>
      <c r="C18" s="21"/>
      <c r="D18" s="21"/>
      <c r="E18" s="21"/>
      <c r="F18" s="21"/>
      <c r="G18" s="21"/>
      <c r="H18" s="21"/>
      <c r="I18" s="9"/>
      <c r="J18" s="9"/>
      <c r="K18" s="9"/>
      <c r="L18" s="9"/>
      <c r="M18" s="9"/>
      <c r="N18" s="9"/>
      <c r="O18" s="9"/>
      <c r="P18" s="9"/>
      <c r="Q18" s="9"/>
      <c r="R18" s="9"/>
    </row>
    <row r="19" ht="13.55" customHeight="1">
      <c r="A19" s="9"/>
      <c r="B19" s="9"/>
      <c r="C19" s="9"/>
      <c r="D19" s="9"/>
      <c r="E19" s="9"/>
      <c r="F19" s="9"/>
      <c r="G19" s="9"/>
      <c r="H19" s="9"/>
      <c r="I19" s="9"/>
      <c r="J19" s="9"/>
      <c r="K19" s="9"/>
      <c r="L19" s="9"/>
      <c r="M19" s="9"/>
      <c r="N19" s="9"/>
      <c r="O19" s="9"/>
      <c r="P19" s="9"/>
      <c r="Q19" s="9"/>
      <c r="R19" s="9"/>
    </row>
  </sheetData>
  <mergeCells count="3">
    <mergeCell ref="A1:H1"/>
    <mergeCell ref="A14:H14"/>
    <mergeCell ref="A15:H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8.83333" defaultRowHeight="15" customHeight="1" outlineLevelRow="0" outlineLevelCol="0"/>
  <cols>
    <col min="1" max="1" width="24" style="57" customWidth="1"/>
    <col min="2" max="2" width="48" style="57" customWidth="1"/>
    <col min="3" max="6" width="8.85156" style="57" customWidth="1"/>
    <col min="7" max="16384" width="8.85156" style="57" customWidth="1"/>
  </cols>
  <sheetData>
    <row r="1" ht="19.45" customHeight="1">
      <c r="A1" t="s" s="58">
        <v>328</v>
      </c>
      <c r="B1" s="8"/>
      <c r="C1" s="9"/>
      <c r="D1" s="9"/>
      <c r="E1" s="9"/>
      <c r="F1" s="9"/>
    </row>
    <row r="2" ht="13.55" customHeight="1">
      <c r="A2" s="12"/>
      <c r="B2" s="9"/>
      <c r="C2" s="9"/>
      <c r="D2" s="9"/>
      <c r="E2" s="9"/>
      <c r="F2" s="9"/>
    </row>
    <row r="3" ht="13.55" customHeight="1">
      <c r="A3" t="s" s="59">
        <v>329</v>
      </c>
      <c r="B3" t="s" s="15">
        <v>330</v>
      </c>
      <c r="C3" s="9"/>
      <c r="D3" s="9"/>
      <c r="E3" s="9"/>
      <c r="F3" s="9"/>
    </row>
    <row r="4" ht="13.55" customHeight="1">
      <c r="A4" t="s" s="59">
        <v>13</v>
      </c>
      <c r="B4" t="s" s="15">
        <v>14</v>
      </c>
      <c r="C4" s="9"/>
      <c r="D4" s="9"/>
      <c r="E4" s="9"/>
      <c r="F4" s="9"/>
    </row>
    <row r="5" ht="13.55" customHeight="1">
      <c r="A5" t="s" s="59">
        <v>331</v>
      </c>
      <c r="B5" t="s" s="15">
        <v>332</v>
      </c>
      <c r="C5" s="9"/>
      <c r="D5" s="9"/>
      <c r="E5" s="9"/>
      <c r="F5" s="9"/>
    </row>
    <row r="6" ht="13.55" customHeight="1">
      <c r="A6" t="s" s="59">
        <v>333</v>
      </c>
      <c r="B6" t="s" s="15">
        <v>334</v>
      </c>
      <c r="C6" s="9"/>
      <c r="D6" s="9"/>
      <c r="E6" s="9"/>
      <c r="F6" s="9"/>
    </row>
    <row r="7" ht="13.55" customHeight="1">
      <c r="A7" t="s" s="59">
        <v>335</v>
      </c>
      <c r="B7" t="s" s="15">
        <v>336</v>
      </c>
      <c r="C7" s="9"/>
      <c r="D7" s="9"/>
      <c r="E7" s="9"/>
      <c r="F7" s="9"/>
    </row>
    <row r="8" ht="13.55" customHeight="1">
      <c r="A8" t="s" s="59">
        <v>337</v>
      </c>
      <c r="B8" t="s" s="15">
        <v>338</v>
      </c>
      <c r="C8" s="9"/>
      <c r="D8" s="9"/>
      <c r="E8" s="9"/>
      <c r="F8" s="9"/>
    </row>
    <row r="9" ht="13.55" customHeight="1">
      <c r="A9" t="s" s="59">
        <v>339</v>
      </c>
      <c r="B9" t="s" s="15">
        <v>340</v>
      </c>
      <c r="C9" s="9"/>
      <c r="D9" s="9"/>
      <c r="E9" s="9"/>
      <c r="F9" s="9"/>
    </row>
    <row r="10" ht="13.55" customHeight="1">
      <c r="A10" t="s" s="59">
        <v>341</v>
      </c>
      <c r="B10" t="s" s="15">
        <v>342</v>
      </c>
      <c r="C10" s="9"/>
      <c r="D10" s="9"/>
      <c r="E10" s="9"/>
      <c r="F10" s="9"/>
    </row>
    <row r="11" ht="13.55" customHeight="1">
      <c r="A11" t="s" s="60">
        <v>343</v>
      </c>
      <c r="B11" t="s" s="15">
        <v>344</v>
      </c>
      <c r="C11" s="9"/>
      <c r="D11" s="9"/>
      <c r="E11" s="9"/>
      <c r="F11" s="9"/>
    </row>
  </sheetData>
  <mergeCells count="1">
    <mergeCell ref="A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N17"/>
  <sheetViews>
    <sheetView workbookViewId="0" showGridLines="0" defaultGridColor="1"/>
  </sheetViews>
  <sheetFormatPr defaultColWidth="8.83333" defaultRowHeight="15" customHeight="1" outlineLevelRow="0" outlineLevelCol="0"/>
  <cols>
    <col min="1" max="2" width="12" style="61" customWidth="1"/>
    <col min="3" max="3" width="18" style="61" customWidth="1"/>
    <col min="4" max="4" width="34" style="61" customWidth="1"/>
    <col min="5" max="6" width="38" style="61" customWidth="1"/>
    <col min="7" max="7" width="12" style="61" customWidth="1"/>
    <col min="8" max="8" width="10" style="61" customWidth="1"/>
    <col min="9" max="9" width="14" style="61" customWidth="1"/>
    <col min="10" max="10" width="26" style="61" customWidth="1"/>
    <col min="11" max="12" width="16" style="61" customWidth="1"/>
    <col min="13" max="13" width="28" style="61" customWidth="1"/>
    <col min="14" max="14" width="8.85156" style="61" customWidth="1"/>
    <col min="15" max="16384" width="8.85156" style="61" customWidth="1"/>
  </cols>
  <sheetData>
    <row r="1" ht="13.55" customHeight="1">
      <c r="A1" t="s" s="62">
        <v>346</v>
      </c>
      <c r="B1" t="s" s="63">
        <v>53</v>
      </c>
      <c r="C1" t="s" s="63">
        <v>56</v>
      </c>
      <c r="D1" t="s" s="63">
        <v>347</v>
      </c>
      <c r="E1" t="s" s="63">
        <v>348</v>
      </c>
      <c r="F1" t="s" s="63">
        <v>59</v>
      </c>
      <c r="G1" t="s" s="63">
        <v>349</v>
      </c>
      <c r="H1" t="s" s="63">
        <v>58</v>
      </c>
      <c r="I1" t="s" s="63">
        <v>61</v>
      </c>
      <c r="J1" t="s" s="63">
        <v>350</v>
      </c>
      <c r="K1" t="s" s="63">
        <v>351</v>
      </c>
      <c r="L1" t="s" s="63">
        <v>352</v>
      </c>
      <c r="M1" t="s" s="64">
        <v>68</v>
      </c>
      <c r="N1" s="65"/>
    </row>
    <row r="2" ht="13.55" customHeight="1">
      <c r="A2" t="s" s="31">
        <v>353</v>
      </c>
      <c r="B2" s="33"/>
      <c r="C2" s="33"/>
      <c r="D2" s="33"/>
      <c r="E2" s="33"/>
      <c r="F2" s="33"/>
      <c r="G2" s="33"/>
      <c r="H2" s="33"/>
      <c r="I2" t="s" s="32">
        <v>354</v>
      </c>
      <c r="J2" s="33"/>
      <c r="K2" s="33"/>
      <c r="L2" s="33"/>
      <c r="M2" s="35"/>
      <c r="N2" s="65"/>
    </row>
    <row r="3" ht="13.55" customHeight="1">
      <c r="A3" t="s" s="37">
        <v>355</v>
      </c>
      <c r="B3" s="39"/>
      <c r="C3" s="39"/>
      <c r="D3" s="39"/>
      <c r="E3" s="39"/>
      <c r="F3" s="39"/>
      <c r="G3" s="39"/>
      <c r="H3" s="39"/>
      <c r="I3" t="s" s="38">
        <v>354</v>
      </c>
      <c r="J3" s="39"/>
      <c r="K3" s="39"/>
      <c r="L3" s="39"/>
      <c r="M3" s="42"/>
      <c r="N3" s="65"/>
    </row>
    <row r="4" ht="13.55" customHeight="1">
      <c r="A4" t="s" s="31">
        <v>356</v>
      </c>
      <c r="B4" s="33"/>
      <c r="C4" s="33"/>
      <c r="D4" s="33"/>
      <c r="E4" s="33"/>
      <c r="F4" s="33"/>
      <c r="G4" s="33"/>
      <c r="H4" s="33"/>
      <c r="I4" t="s" s="32">
        <v>354</v>
      </c>
      <c r="J4" s="33"/>
      <c r="K4" s="33"/>
      <c r="L4" s="33"/>
      <c r="M4" s="35"/>
      <c r="N4" s="65"/>
    </row>
    <row r="5" ht="13.55" customHeight="1">
      <c r="A5" t="s" s="37">
        <v>357</v>
      </c>
      <c r="B5" s="39"/>
      <c r="C5" s="39"/>
      <c r="D5" s="39"/>
      <c r="E5" s="39"/>
      <c r="F5" s="39"/>
      <c r="G5" s="39"/>
      <c r="H5" s="39"/>
      <c r="I5" t="s" s="38">
        <v>354</v>
      </c>
      <c r="J5" s="39"/>
      <c r="K5" s="39"/>
      <c r="L5" s="39"/>
      <c r="M5" s="42"/>
      <c r="N5" s="65"/>
    </row>
    <row r="6" ht="13.55" customHeight="1">
      <c r="A6" t="s" s="31">
        <v>358</v>
      </c>
      <c r="B6" s="33"/>
      <c r="C6" s="33"/>
      <c r="D6" s="33"/>
      <c r="E6" s="33"/>
      <c r="F6" s="33"/>
      <c r="G6" s="33"/>
      <c r="H6" s="33"/>
      <c r="I6" t="s" s="32">
        <v>354</v>
      </c>
      <c r="J6" s="33"/>
      <c r="K6" s="33"/>
      <c r="L6" s="33"/>
      <c r="M6" s="35"/>
      <c r="N6" s="65"/>
    </row>
    <row r="7" ht="13.55" customHeight="1">
      <c r="A7" t="s" s="37">
        <v>359</v>
      </c>
      <c r="B7" s="39"/>
      <c r="C7" s="39"/>
      <c r="D7" s="39"/>
      <c r="E7" s="39"/>
      <c r="F7" s="39"/>
      <c r="G7" s="39"/>
      <c r="H7" s="39"/>
      <c r="I7" t="s" s="38">
        <v>354</v>
      </c>
      <c r="J7" s="39"/>
      <c r="K7" s="39"/>
      <c r="L7" s="39"/>
      <c r="M7" s="42"/>
      <c r="N7" s="65"/>
    </row>
    <row r="8" ht="13.55" customHeight="1">
      <c r="A8" t="s" s="31">
        <v>360</v>
      </c>
      <c r="B8" s="33"/>
      <c r="C8" s="33"/>
      <c r="D8" s="33"/>
      <c r="E8" s="33"/>
      <c r="F8" s="33"/>
      <c r="G8" s="33"/>
      <c r="H8" s="33"/>
      <c r="I8" t="s" s="32">
        <v>354</v>
      </c>
      <c r="J8" s="33"/>
      <c r="K8" s="33"/>
      <c r="L8" s="33"/>
      <c r="M8" s="35"/>
      <c r="N8" s="65"/>
    </row>
    <row r="9" ht="13.55" customHeight="1">
      <c r="A9" t="s" s="37">
        <v>361</v>
      </c>
      <c r="B9" s="39"/>
      <c r="C9" s="39"/>
      <c r="D9" s="39"/>
      <c r="E9" s="39"/>
      <c r="F9" s="39"/>
      <c r="G9" s="39"/>
      <c r="H9" s="39"/>
      <c r="I9" t="s" s="38">
        <v>354</v>
      </c>
      <c r="J9" s="39"/>
      <c r="K9" s="39"/>
      <c r="L9" s="39"/>
      <c r="M9" s="42"/>
      <c r="N9" s="65"/>
    </row>
    <row r="10" ht="13.55" customHeight="1">
      <c r="A10" t="s" s="31">
        <v>362</v>
      </c>
      <c r="B10" s="33"/>
      <c r="C10" s="33"/>
      <c r="D10" s="33"/>
      <c r="E10" s="33"/>
      <c r="F10" s="33"/>
      <c r="G10" s="33"/>
      <c r="H10" s="33"/>
      <c r="I10" t="s" s="32">
        <v>354</v>
      </c>
      <c r="J10" s="33"/>
      <c r="K10" s="33"/>
      <c r="L10" s="33"/>
      <c r="M10" s="35"/>
      <c r="N10" s="65"/>
    </row>
    <row r="11" ht="13.55" customHeight="1">
      <c r="A11" t="s" s="37">
        <v>363</v>
      </c>
      <c r="B11" s="39"/>
      <c r="C11" s="39"/>
      <c r="D11" s="39"/>
      <c r="E11" s="39"/>
      <c r="F11" s="39"/>
      <c r="G11" s="39"/>
      <c r="H11" s="39"/>
      <c r="I11" t="s" s="38">
        <v>354</v>
      </c>
      <c r="J11" s="39"/>
      <c r="K11" s="39"/>
      <c r="L11" s="39"/>
      <c r="M11" s="42"/>
      <c r="N11" s="65"/>
    </row>
    <row r="12" ht="13.55" customHeight="1">
      <c r="A12" t="s" s="31">
        <v>364</v>
      </c>
      <c r="B12" s="33"/>
      <c r="C12" s="33"/>
      <c r="D12" s="33"/>
      <c r="E12" s="33"/>
      <c r="F12" s="33"/>
      <c r="G12" s="33"/>
      <c r="H12" s="33"/>
      <c r="I12" t="s" s="32">
        <v>354</v>
      </c>
      <c r="J12" s="33"/>
      <c r="K12" s="33"/>
      <c r="L12" s="33"/>
      <c r="M12" s="35"/>
      <c r="N12" s="65"/>
    </row>
    <row r="13" ht="13.55" customHeight="1">
      <c r="A13" t="s" s="37">
        <v>365</v>
      </c>
      <c r="B13" s="39"/>
      <c r="C13" s="39"/>
      <c r="D13" s="39"/>
      <c r="E13" s="39"/>
      <c r="F13" s="39"/>
      <c r="G13" s="39"/>
      <c r="H13" s="39"/>
      <c r="I13" t="s" s="38">
        <v>354</v>
      </c>
      <c r="J13" s="39"/>
      <c r="K13" s="39"/>
      <c r="L13" s="39"/>
      <c r="M13" s="42"/>
      <c r="N13" s="65"/>
    </row>
    <row r="14" ht="13.55" customHeight="1">
      <c r="A14" t="s" s="31">
        <v>366</v>
      </c>
      <c r="B14" s="33"/>
      <c r="C14" s="33"/>
      <c r="D14" s="33"/>
      <c r="E14" s="33"/>
      <c r="F14" s="33"/>
      <c r="G14" s="33"/>
      <c r="H14" s="33"/>
      <c r="I14" t="s" s="32">
        <v>354</v>
      </c>
      <c r="J14" s="33"/>
      <c r="K14" s="33"/>
      <c r="L14" s="33"/>
      <c r="M14" s="35"/>
      <c r="N14" s="65"/>
    </row>
    <row r="15" ht="13.55" customHeight="1">
      <c r="A15" t="s" s="37">
        <v>367</v>
      </c>
      <c r="B15" s="39"/>
      <c r="C15" s="39"/>
      <c r="D15" s="39"/>
      <c r="E15" s="39"/>
      <c r="F15" s="39"/>
      <c r="G15" s="39"/>
      <c r="H15" s="39"/>
      <c r="I15" t="s" s="38">
        <v>354</v>
      </c>
      <c r="J15" s="39"/>
      <c r="K15" s="39"/>
      <c r="L15" s="39"/>
      <c r="M15" s="42"/>
      <c r="N15" s="65"/>
    </row>
    <row r="16" ht="13.55" customHeight="1">
      <c r="A16" t="s" s="31">
        <v>368</v>
      </c>
      <c r="B16" s="33"/>
      <c r="C16" s="33"/>
      <c r="D16" s="33"/>
      <c r="E16" s="33"/>
      <c r="F16" s="33"/>
      <c r="G16" s="33"/>
      <c r="H16" s="33"/>
      <c r="I16" t="s" s="32">
        <v>354</v>
      </c>
      <c r="J16" s="33"/>
      <c r="K16" s="33"/>
      <c r="L16" s="33"/>
      <c r="M16" s="35"/>
      <c r="N16" s="65"/>
    </row>
    <row r="17" ht="13.55" customHeight="1">
      <c r="A17" s="66"/>
      <c r="B17" s="66"/>
      <c r="C17" s="66"/>
      <c r="D17" s="66"/>
      <c r="E17" s="66"/>
      <c r="F17" s="66"/>
      <c r="G17" s="66"/>
      <c r="H17" s="66"/>
      <c r="I17" s="66"/>
      <c r="J17" s="66"/>
      <c r="K17" s="66"/>
      <c r="L17" s="66"/>
      <c r="M17" s="66"/>
      <c r="N17" s="9"/>
    </row>
  </sheetData>
  <dataValidations count="3">
    <dataValidation type="list" allowBlank="1" showInputMessage="1" showErrorMessage="1" sqref="G2:G16">
      <formula1>"Critical,High,Medium,Low"</formula1>
    </dataValidation>
    <dataValidation type="list" allowBlank="1" showInputMessage="1" showErrorMessage="1" sqref="H2:H16">
      <formula1>"P1,P2,P3,P4"</formula1>
    </dataValidation>
    <dataValidation type="list" allowBlank="1" showInputMessage="1" showErrorMessage="1" sqref="I2:I16">
      <formula1>"New,Confirmed,In Review,Fixed,Retest,Closed,Rejected,Deferred"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